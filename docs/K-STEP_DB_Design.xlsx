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T학원\react 개인프로젝트\"/>
    </mc:Choice>
  </mc:AlternateContent>
  <xr:revisionPtr revIDLastSave="0" documentId="13_ncr:1_{6EEF21BB-EC0B-4C70-90AF-F8D4BAE1D822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00_간단개요" sheetId="1" r:id="rId1"/>
    <sheet name="01_ERD" sheetId="2" r:id="rId2"/>
    <sheet name="02_테이블목록" sheetId="3" r:id="rId3"/>
    <sheet name="03_컬럼정의" sheetId="4" r:id="rId4"/>
    <sheet name="04_화면매핑" sheetId="5" r:id="rId5"/>
    <sheet name="05_API목록" sheetId="6" r:id="rId6"/>
    <sheet name="06_샘플데이터" sheetId="7" r:id="rId7"/>
    <sheet name="07_검수체크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E9" i="1" s="1"/>
  <c r="B14" i="1"/>
  <c r="E8" i="1" s="1"/>
  <c r="B13" i="1"/>
  <c r="E7" i="1" s="1"/>
  <c r="B12" i="1"/>
  <c r="E6" i="1" s="1"/>
</calcChain>
</file>

<file path=xl/sharedStrings.xml><?xml version="1.0" encoding="utf-8"?>
<sst xmlns="http://schemas.openxmlformats.org/spreadsheetml/2006/main" count="1196" uniqueCount="600">
  <si>
    <t>구분</t>
  </si>
  <si>
    <t>내용</t>
  </si>
  <si>
    <t>현재 K-STEP SNS 구성 요약</t>
  </si>
  <si>
    <t>프로젝트명</t>
  </si>
  <si>
    <t>K-STEP</t>
  </si>
  <si>
    <t>항목</t>
  </si>
  <si>
    <t>수식/값</t>
  </si>
  <si>
    <t>서비스 성격</t>
  </si>
  <si>
    <t>한국 여행 루트 공유형 SNS / 인스타그램형 피드 + 스토리 + 여행 루트</t>
  </si>
  <si>
    <t>테이블 수</t>
  </si>
  <si>
    <t>현재 기준</t>
  </si>
  <si>
    <t>React + Node Express + Oracle XE 로컬 DB, JWT 로그인, multer 이미지 업로드</t>
  </si>
  <si>
    <t>컬럼 수</t>
  </si>
  <si>
    <t>핵심 화면</t>
  </si>
  <si>
    <t>Login, Join, HomeFeed, Explore, CreateFeed, FeedDetail, Profile, StoryManage, Notifications, Chat</t>
  </si>
  <si>
    <t>구현 테이블</t>
  </si>
  <si>
    <t>핵심 기능</t>
  </si>
  <si>
    <t>회원, 피드, 다중 이미지, 루트 장소, 댓글, 좋아요, 저장, 팔로우/팔로워, 스토리, 스토리 조회자, 광고/추천</t>
  </si>
  <si>
    <t>선택 테이블</t>
  </si>
  <si>
    <t>디자인 방향</t>
  </si>
  <si>
    <t>Korea-inspired SNS: hanji/bojagi/norigae/plum/cloud, pink/peach/lavender/cream</t>
  </si>
  <si>
    <t>핵심 카테고리</t>
  </si>
  <si>
    <t>맛집 / 카페 / 쇼핑 / 관광 / 야경 / 자연</t>
  </si>
  <si>
    <t>DB 기준</t>
  </si>
  <si>
    <t>Oracle 타입 기준(NUMBER, VARCHAR2, CLOB, DATE). 실제 화면에서 쓰는 테이블 중심으로 정리</t>
  </si>
  <si>
    <t>핵심 발표 흐름</t>
  </si>
  <si>
    <t>로그인 → 홈피드 → 상세 → 좋아요/저장/댓글 → 프로필 → 스토리 업로드</t>
  </si>
  <si>
    <t>구현/사용 테이블</t>
  </si>
  <si>
    <t>선택/예정 테이블</t>
  </si>
  <si>
    <t>ERD 관계 정리</t>
  </si>
  <si>
    <t>No</t>
  </si>
  <si>
    <t>부모 테이블</t>
  </si>
  <si>
    <t>관계</t>
  </si>
  <si>
    <t>자식 테이블</t>
  </si>
  <si>
    <t>FK 컬럼</t>
  </si>
  <si>
    <t>설명</t>
  </si>
  <si>
    <t>TBL_USER</t>
  </si>
  <si>
    <t>1:N</t>
  </si>
  <si>
    <t>FEED</t>
  </si>
  <si>
    <t>FEED.USER_NO</t>
  </si>
  <si>
    <t>회원 1명이 여러 개의 여행 피드를 작성</t>
  </si>
  <si>
    <t>FEED_COMMENT</t>
  </si>
  <si>
    <t>FEED_COMMENT.USER_NO</t>
  </si>
  <si>
    <t>회원 1명이 여러 댓글 작성</t>
  </si>
  <si>
    <t>FEED_LIKE</t>
  </si>
  <si>
    <t>FEED_LIKE.USER_NO</t>
  </si>
  <si>
    <t>회원 1명이 여러 피드 좋아요 가능</t>
  </si>
  <si>
    <t>FEED_BOOKMARK</t>
  </si>
  <si>
    <t>FEED_BOOKMARK.USER_NO</t>
  </si>
  <si>
    <t>회원 1명이 여러 피드 저장 가능</t>
  </si>
  <si>
    <t>STORY</t>
  </si>
  <si>
    <t>STORY.USER_NO</t>
  </si>
  <si>
    <t>회원 1명이 여러 스토리 업로드</t>
  </si>
  <si>
    <t>STORY_VIEW</t>
  </si>
  <si>
    <t>STORY_VIEW.VIEWER_NO</t>
  </si>
  <si>
    <t>회원 1명이 여러 스토리를 볼 수 있음</t>
  </si>
  <si>
    <t>USER_FOLLOW</t>
  </si>
  <si>
    <t>USER_FOLLOW.FOLLOWER_NO</t>
  </si>
  <si>
    <t>팔로우를 거는 회원</t>
  </si>
  <si>
    <t>USER_FOLLOW.FOLLOWING_NO</t>
  </si>
  <si>
    <t>팔로우를 받는 회원</t>
  </si>
  <si>
    <t>FEED_IMAGE</t>
  </si>
  <si>
    <t>FEED_IMAGE.FEED_NO</t>
  </si>
  <si>
    <t>피드 1개에 이미지 여러 장</t>
  </si>
  <si>
    <t>FEED_ROUTE_SPOT</t>
  </si>
  <si>
    <t>FEED_ROUTE_SPOT.FEED_NO</t>
  </si>
  <si>
    <t>피드 1개에 루트 장소 여러 개</t>
  </si>
  <si>
    <t>FEED_COMMENT.FEED_NO</t>
  </si>
  <si>
    <t>피드 1개에 댓글 여러 개</t>
  </si>
  <si>
    <t>FEED_LIKE.FEED_NO</t>
  </si>
  <si>
    <t>피드 1개에 좋아요 여러 개</t>
  </si>
  <si>
    <t>FEED_BOOKMARK.FEED_NO</t>
  </si>
  <si>
    <t>피드 1개에 저장 여러 개</t>
  </si>
  <si>
    <t>STORY_VIEW.STORY_NO</t>
  </si>
  <si>
    <t>스토리별 본 사람 기록</t>
  </si>
  <si>
    <t>STORY_TEXT</t>
  </si>
  <si>
    <t>STORY_TEXT.STORY_NO</t>
  </si>
  <si>
    <t>스토리 꾸미기 글자 위치/내용 저장</t>
  </si>
  <si>
    <t>CHAT_MESSAGE</t>
  </si>
  <si>
    <t>CHAT_MESSAGE.SENDER_NO / RECEIVER_NO</t>
  </si>
  <si>
    <t>채팅 화면 확장용</t>
  </si>
  <si>
    <t>NOTIFICATION</t>
  </si>
  <si>
    <t>NOTIFICATION.RECEIVE_USER_NO</t>
  </si>
  <si>
    <t>알림 화면 확장용</t>
  </si>
  <si>
    <t>테이블 목록</t>
  </si>
  <si>
    <t>테이블명</t>
  </si>
  <si>
    <t>용도</t>
  </si>
  <si>
    <t>중요도</t>
  </si>
  <si>
    <t>구현상태</t>
  </si>
  <si>
    <t>사용 화면</t>
  </si>
  <si>
    <t>비고</t>
  </si>
  <si>
    <t>회원 정보</t>
  </si>
  <si>
    <t>필수</t>
  </si>
  <si>
    <t>구현</t>
  </si>
  <si>
    <t>Login, Join, Profile, HomeFeed</t>
  </si>
  <si>
    <t>프로필 이미지/비공개/DM 설정 포함</t>
  </si>
  <si>
    <t>여행 피드 본문</t>
  </si>
  <si>
    <t>HomeFeed, Explore, FeedDetail, CreateFeed, Profile</t>
  </si>
  <si>
    <t>제목/내용/지역/카테고리/루트요약/카운트</t>
  </si>
  <si>
    <t>피드 다중 이미지</t>
  </si>
  <si>
    <t>HomeFeed, FeedDetail, CreateFeed</t>
  </si>
  <si>
    <t>사진 여러 장 슬라이드</t>
  </si>
  <si>
    <t>여행 루트 장소</t>
  </si>
  <si>
    <t>FeedDetail, CreateFeed</t>
  </si>
  <si>
    <t>K-STEP 차별 기능</t>
  </si>
  <si>
    <t>댓글</t>
  </si>
  <si>
    <t>FeedDetail</t>
  </si>
  <si>
    <t>등록/삭제/카운트 반영</t>
  </si>
  <si>
    <t>좋아요</t>
  </si>
  <si>
    <t>HomeFeed, FeedDetail</t>
  </si>
  <si>
    <t>UNIQUE(FEED_NO, USER_NO)</t>
  </si>
  <si>
    <t>저장/북마크</t>
  </si>
  <si>
    <t>HomeFeed, FeedDetail, Profile</t>
  </si>
  <si>
    <t>저장 루트 탭</t>
  </si>
  <si>
    <t>팔로우/팔로워</t>
  </si>
  <si>
    <t>Profile, HomeFeed 추천여행자</t>
  </si>
  <si>
    <t>비공개 계정이면 요청/승인 확장 가능</t>
  </si>
  <si>
    <t>스토리 본문/이미지</t>
  </si>
  <si>
    <t>HomeFeed, Profile, StoryManage</t>
  </si>
  <si>
    <t>24시간 만료, 여러 장 업로드</t>
  </si>
  <si>
    <t>스토리 조회 기록</t>
  </si>
  <si>
    <t>StoryBar, StoryManage</t>
  </si>
  <si>
    <t>작성자 제외 조회자 목록</t>
  </si>
  <si>
    <t>스토리 글자 꾸미기</t>
  </si>
  <si>
    <t>선택</t>
  </si>
  <si>
    <t>StoryManage</t>
  </si>
  <si>
    <t>글 내용, 위치, 색상, 배경 저장용</t>
  </si>
  <si>
    <t>SPONSOR</t>
  </si>
  <si>
    <t>스폰서 광고</t>
  </si>
  <si>
    <t>HomeFeed, SponsorDetail</t>
  </si>
  <si>
    <t>홈 우측 광고 슬라이드</t>
  </si>
  <si>
    <t>1:1 채팅 메시지</t>
  </si>
  <si>
    <t>Chat</t>
  </si>
  <si>
    <t>채팅 화면 완성도용 확장</t>
  </si>
  <si>
    <t>알림</t>
  </si>
  <si>
    <t>Notifications</t>
  </si>
  <si>
    <t>좋아요/댓글/팔로우 알림 확장</t>
  </si>
  <si>
    <t>컬럼 정의</t>
  </si>
  <si>
    <t>컬럼명</t>
  </si>
  <si>
    <t>Oracle 타입</t>
  </si>
  <si>
    <t>PK</t>
  </si>
  <si>
    <t>FK</t>
  </si>
  <si>
    <t>NULL</t>
  </si>
  <si>
    <t>기본값</t>
  </si>
  <si>
    <t>USER_NO</t>
  </si>
  <si>
    <t>NUMBER</t>
  </si>
  <si>
    <t>Y</t>
  </si>
  <si>
    <t>N</t>
  </si>
  <si>
    <t>SEQ_USER_NO.NEXTVAL</t>
  </si>
  <si>
    <t>회원 번호</t>
  </si>
  <si>
    <t>USER_ID</t>
  </si>
  <si>
    <t>VARCHAR2(50)</t>
  </si>
  <si>
    <t>로그인 아이디, UNIQUE</t>
  </si>
  <si>
    <t>PWD</t>
  </si>
  <si>
    <t>VARCHAR2(200)</t>
  </si>
  <si>
    <t>bcrypt 암호화 비밀번호</t>
  </si>
  <si>
    <t>NICKNAME</t>
  </si>
  <si>
    <t>닉네임, UNIQUE</t>
  </si>
  <si>
    <t>USER_TYPE</t>
  </si>
  <si>
    <t>VARCHAR2(20)</t>
  </si>
  <si>
    <t>'LOCAL'</t>
  </si>
  <si>
    <t>LOCAL/TRAVELER/GUIDE</t>
  </si>
  <si>
    <t>EMAIL</t>
  </si>
  <si>
    <t>VARCHAR2(100)</t>
  </si>
  <si>
    <t>이메일</t>
  </si>
  <si>
    <t>BIO</t>
  </si>
  <si>
    <t>VARCHAR2(500)</t>
  </si>
  <si>
    <t>프로필 소개글</t>
  </si>
  <si>
    <t>PROFILE_IMG</t>
  </si>
  <si>
    <t>프로필 사진 경로</t>
  </si>
  <si>
    <t>PUBLIC_YN</t>
  </si>
  <si>
    <t>CHAR(1)</t>
  </si>
  <si>
    <t>'Y'</t>
  </si>
  <si>
    <t>Y=공개, N=비공개</t>
  </si>
  <si>
    <t>DM_YN</t>
  </si>
  <si>
    <t>DM 허용 여부</t>
  </si>
  <si>
    <t>STATUS_YN</t>
  </si>
  <si>
    <t>Y=정상, N=탈퇴/삭제</t>
  </si>
  <si>
    <t>CDATE</t>
  </si>
  <si>
    <t>DATE</t>
  </si>
  <si>
    <t>SYSDATE</t>
  </si>
  <si>
    <t>가입일</t>
  </si>
  <si>
    <t>FEED_NO</t>
  </si>
  <si>
    <t>SEQ_FEED_NO.NEXTVAL</t>
  </si>
  <si>
    <t>피드 번호</t>
  </si>
  <si>
    <t>TBL_USER.USER_NO</t>
  </si>
  <si>
    <t>작성자</t>
  </si>
  <si>
    <t>TITLE</t>
  </si>
  <si>
    <t>피드 제목</t>
  </si>
  <si>
    <t>CONTENT</t>
  </si>
  <si>
    <t>CLOB</t>
  </si>
  <si>
    <t>피드 내용</t>
  </si>
  <si>
    <t>AREA</t>
  </si>
  <si>
    <t>지역 예: 서울, 부산, 제주</t>
  </si>
  <si>
    <t>CATEGORY</t>
  </si>
  <si>
    <t>VARCHAR2(30)</t>
  </si>
  <si>
    <t>맛집/카페/쇼핑/관광/야경/자연</t>
  </si>
  <si>
    <t>MAIN_IMG</t>
  </si>
  <si>
    <t>대표 이미지</t>
  </si>
  <si>
    <t>ROUTE_SUMMARY</t>
  </si>
  <si>
    <t>VARCHAR2(1000)</t>
  </si>
  <si>
    <t>루트 요약: 장소1 → 장소2</t>
  </si>
  <si>
    <t>HASHTAGS</t>
  </si>
  <si>
    <t>해시태그 문자열</t>
  </si>
  <si>
    <t>VIEW_COUNT</t>
  </si>
  <si>
    <t>0</t>
  </si>
  <si>
    <t>조회수</t>
  </si>
  <si>
    <t>LIKE_COUNT</t>
  </si>
  <si>
    <t>좋아요 수</t>
  </si>
  <si>
    <t>BOOKMARK_COUNT</t>
  </si>
  <si>
    <t>저장 수</t>
  </si>
  <si>
    <t>COMMENT_COUNT</t>
  </si>
  <si>
    <t>댓글 수</t>
  </si>
  <si>
    <t>Y=공개, N=삭제</t>
  </si>
  <si>
    <t>작성일</t>
  </si>
  <si>
    <t>IMG_NO</t>
  </si>
  <si>
    <t>SEQ_FEED_IMG_NO.NEXTVAL</t>
  </si>
  <si>
    <t>이미지 번호</t>
  </si>
  <si>
    <t>FEED.FEED_NO</t>
  </si>
  <si>
    <t>IMG_URL</t>
  </si>
  <si>
    <t>이미지 경로</t>
  </si>
  <si>
    <t>IMG_ORDER</t>
  </si>
  <si>
    <t>1</t>
  </si>
  <si>
    <t>이미지 순서</t>
  </si>
  <si>
    <t>등록일</t>
  </si>
  <si>
    <t>SPOT_NO</t>
  </si>
  <si>
    <t>SEQ_ROUTE_SPOT_NO.NEXTVAL</t>
  </si>
  <si>
    <t>장소 번호</t>
  </si>
  <si>
    <t>SPOT_ORDER</t>
  </si>
  <si>
    <t>장소 순서</t>
  </si>
  <si>
    <t>SPOT_NAME</t>
  </si>
  <si>
    <t>장소명</t>
  </si>
  <si>
    <t>ADDRESS</t>
  </si>
  <si>
    <t>VARCHAR2(300)</t>
  </si>
  <si>
    <t>주소</t>
  </si>
  <si>
    <t>MEMO</t>
  </si>
  <si>
    <t>장소 메모</t>
  </si>
  <si>
    <t>LAT</t>
  </si>
  <si>
    <t>NUMBER(12,8)</t>
  </si>
  <si>
    <t>위도</t>
  </si>
  <si>
    <t>LNG</t>
  </si>
  <si>
    <t>경도</t>
  </si>
  <si>
    <t>COMMENT_NO</t>
  </si>
  <si>
    <t>SEQ_COMMENT_NO.NEXTVAL</t>
  </si>
  <si>
    <t>댓글 번호</t>
  </si>
  <si>
    <t>댓글 내용</t>
  </si>
  <si>
    <t>Y=정상, N=삭제</t>
  </si>
  <si>
    <t>LIKE_NO</t>
  </si>
  <si>
    <t>SEQ_LIKE_NO.NEXTVAL</t>
  </si>
  <si>
    <t>좋아요 번호</t>
  </si>
  <si>
    <t>누른 회원</t>
  </si>
  <si>
    <t>BOOKMARK_NO</t>
  </si>
  <si>
    <t>SEQ_BOOKMARK_NO.NEXTVAL</t>
  </si>
  <si>
    <t>저장 번호</t>
  </si>
  <si>
    <t>저장한 회원</t>
  </si>
  <si>
    <t>FOLLOW_NO</t>
  </si>
  <si>
    <t>SEQ_FOLLOW_NO.NEXTVAL</t>
  </si>
  <si>
    <t>팔로우 번호</t>
  </si>
  <si>
    <t>FOLLOWER_NO</t>
  </si>
  <si>
    <t>팔로우 거는 회원</t>
  </si>
  <si>
    <t>FOLLOWING_NO</t>
  </si>
  <si>
    <t>팔로우 받는 회원</t>
  </si>
  <si>
    <t>FOLLOW_STATUS</t>
  </si>
  <si>
    <t>'ACCEPTED'</t>
  </si>
  <si>
    <t>ACCEPTED/REQUESTED</t>
  </si>
  <si>
    <t>팔로우일</t>
  </si>
  <si>
    <t>STORY_NO</t>
  </si>
  <si>
    <t>SEQ_STORY_NO.NEXTVAL</t>
  </si>
  <si>
    <t>스토리 번호</t>
  </si>
  <si>
    <t>STORY_IMG</t>
  </si>
  <si>
    <t>스토리 이미지 경로</t>
  </si>
  <si>
    <t>STORY_CONTENT</t>
  </si>
  <si>
    <t>스토리 대표 문구</t>
  </si>
  <si>
    <t>EXPIRE_DATE</t>
  </si>
  <si>
    <t>SYSDATE + 1</t>
  </si>
  <si>
    <t>24시간 만료 시간</t>
  </si>
  <si>
    <t>VIEW_NO</t>
  </si>
  <si>
    <t>SEQ_STORY_VIEW_NO.NEXTVAL</t>
  </si>
  <si>
    <t>조회 번호</t>
  </si>
  <si>
    <t>STORY.STORY_NO</t>
  </si>
  <si>
    <t>VIEWER_NO</t>
  </si>
  <si>
    <t>본 회원</t>
  </si>
  <si>
    <t>VIEW_DATE</t>
  </si>
  <si>
    <t>조회일</t>
  </si>
  <si>
    <t>TEXT_NO</t>
  </si>
  <si>
    <t>SEQ_STORY_TEXT_NO.NEXTVAL</t>
  </si>
  <si>
    <t>스토리 글자 번호</t>
  </si>
  <si>
    <t>TEXT_CONTENT</t>
  </si>
  <si>
    <t>표시할 글자</t>
  </si>
  <si>
    <t>POS_X</t>
  </si>
  <si>
    <t>NUMBER(5,2)</t>
  </si>
  <si>
    <t>50</t>
  </si>
  <si>
    <t>가로 위치 퍼센트</t>
  </si>
  <si>
    <t>POS_Y</t>
  </si>
  <si>
    <t>세로 위치 퍼센트</t>
  </si>
  <si>
    <t>FONT_SIZE</t>
  </si>
  <si>
    <t>24</t>
  </si>
  <si>
    <t>글자 크기</t>
  </si>
  <si>
    <t>FONT_COLOR</t>
  </si>
  <si>
    <t>'#FFFFFF'</t>
  </si>
  <si>
    <t>글자 색</t>
  </si>
  <si>
    <t>BG_YN</t>
  </si>
  <si>
    <t>글자 배경 표시 여부</t>
  </si>
  <si>
    <t>SPONSOR_NO</t>
  </si>
  <si>
    <t>SEQ_SPONSOR_NO.NEXTVAL</t>
  </si>
  <si>
    <t>광고 번호</t>
  </si>
  <si>
    <t>광고 제목</t>
  </si>
  <si>
    <t>광고 설명</t>
  </si>
  <si>
    <t>IMAGE_URL</t>
  </si>
  <si>
    <t>광고 이미지</t>
  </si>
  <si>
    <t>LINK_URL</t>
  </si>
  <si>
    <t>상세/외부 링크</t>
  </si>
  <si>
    <t>Y=노출, N=숨김</t>
  </si>
  <si>
    <t>MESSAGE_NO</t>
  </si>
  <si>
    <t>SEQ_MESSAGE_NO.NEXTVAL</t>
  </si>
  <si>
    <t>메시지 번호</t>
  </si>
  <si>
    <t>SENDER_NO</t>
  </si>
  <si>
    <t>보낸 회원</t>
  </si>
  <si>
    <t>RECEIVER_NO</t>
  </si>
  <si>
    <t>받는 회원</t>
  </si>
  <si>
    <t>VARCHAR2(2000)</t>
  </si>
  <si>
    <t>메시지 내용</t>
  </si>
  <si>
    <t>READ_YN</t>
  </si>
  <si>
    <t>'N'</t>
  </si>
  <si>
    <t>읽음 여부</t>
  </si>
  <si>
    <t>전송일</t>
  </si>
  <si>
    <t>NOTI_NO</t>
  </si>
  <si>
    <t>SEQ_NOTI_NO.NEXTVAL</t>
  </si>
  <si>
    <t>알림 번호</t>
  </si>
  <si>
    <t>RECEIVE_USER_NO</t>
  </si>
  <si>
    <t>알림 받는 회원</t>
  </si>
  <si>
    <t>SEND_USER_NO</t>
  </si>
  <si>
    <t>행동한 회원</t>
  </si>
  <si>
    <t>NOTI_TYPE</t>
  </si>
  <si>
    <t>LIKE/COMMENT/FOLLOW/STORY</t>
  </si>
  <si>
    <t>TARGET_NO</t>
  </si>
  <si>
    <t>대상 번호</t>
  </si>
  <si>
    <t>생성일</t>
  </si>
  <si>
    <t>화면 ↔ DB 매핑</t>
  </si>
  <si>
    <t>화면</t>
  </si>
  <si>
    <t>Route</t>
  </si>
  <si>
    <t>주요 기능</t>
  </si>
  <si>
    <t>사용 테이블</t>
  </si>
  <si>
    <t>주요 API</t>
  </si>
  <si>
    <t>완성도/비고</t>
  </si>
  <si>
    <t>Login</t>
  </si>
  <si>
    <t>/</t>
  </si>
  <si>
    <t>로그인, 토큰 저장</t>
  </si>
  <si>
    <t>POST /user/login</t>
  </si>
  <si>
    <t>완료</t>
  </si>
  <si>
    <t>Join</t>
  </si>
  <si>
    <t>/join</t>
  </si>
  <si>
    <t>회원가입, 아이디/닉네임 중복체크, 비밀번호 확인</t>
  </si>
  <si>
    <t>POST /user/join</t>
  </si>
  <si>
    <t>HomeFeed</t>
  </si>
  <si>
    <t>/home</t>
  </si>
  <si>
    <t>팔로우 피드, 추천, 광고, 스토리바, 좋아요/저장</t>
  </si>
  <si>
    <t>FEED, FEED_IMAGE, TBL_USER, USER_FOLLOW, STORY, STORY_VIEW, SPONSOR</t>
  </si>
  <si>
    <t>GET /feed/list, GET /story/user/list, GET /sponsor/list</t>
  </si>
  <si>
    <t>Explore</t>
  </si>
  <si>
    <t>/explore</t>
  </si>
  <si>
    <t>전체 공개 피드, 검색/필터</t>
  </si>
  <si>
    <t>FEED, FEED_IMAGE, TBL_USER</t>
  </si>
  <si>
    <t>GET /feed/explore</t>
  </si>
  <si>
    <t>CreateFeed</t>
  </si>
  <si>
    <t>/feed/new</t>
  </si>
  <si>
    <t>피드 작성, 다중 이미지, 루트 장소 입력</t>
  </si>
  <si>
    <t>FEED, FEED_IMAGE, FEED_ROUTE_SPOT</t>
  </si>
  <si>
    <t>POST /feed/new</t>
  </si>
  <si>
    <t>완료/테스트 필요</t>
  </si>
  <si>
    <t>/feed/:feedNo</t>
  </si>
  <si>
    <t>상세, 이미지 슬라이드, 루트 지도, 댓글, 좋아요, 저장</t>
  </si>
  <si>
    <t>FEED, FEED_IMAGE, FEED_ROUTE_SPOT, FEED_COMMENT, FEED_LIKE, FEED_BOOKMARK</t>
  </si>
  <si>
    <t>GET /feed/detail, POST /feed/comment/add</t>
  </si>
  <si>
    <t>완료/발표 핵심</t>
  </si>
  <si>
    <t>Profile</t>
  </si>
  <si>
    <t>/profile/:userNo</t>
  </si>
  <si>
    <t>프로필, 작성 피드, 저장 루트, 팔로워/팔로우, 설정 이동</t>
  </si>
  <si>
    <t>TBL_USER, FEED, FEED_BOOKMARK, USER_FOLLOW, STORY</t>
  </si>
  <si>
    <t>GET /user/profile/:userNo, GET /follow/list</t>
  </si>
  <si>
    <t>ProfileSettings</t>
  </si>
  <si>
    <t>/settings</t>
  </si>
  <si>
    <t>프로필 수정, 비공개, 알림/DM 설정, 비밀번호 변경</t>
  </si>
  <si>
    <t>POST /user/profile/update</t>
  </si>
  <si>
    <t>일부 확장</t>
  </si>
  <si>
    <t>/story/manage</t>
  </si>
  <si>
    <t>스토리 목록, 조회자, 삭제, 스토리 꾸미기 업로드</t>
  </si>
  <si>
    <t>STORY, STORY_VIEW, STORY_TEXT</t>
  </si>
  <si>
    <t>GET /story/my/list, POST /story/add, POST /story/remove</t>
  </si>
  <si>
    <t>방금 정리한 핵심</t>
  </si>
  <si>
    <t>/notifications</t>
  </si>
  <si>
    <t>알림 목록</t>
  </si>
  <si>
    <t>GET /notification/list</t>
  </si>
  <si>
    <t>화면 우선/선택</t>
  </si>
  <si>
    <t>/chat</t>
  </si>
  <si>
    <t>1:1 채팅</t>
  </si>
  <si>
    <t>CHAT_MESSAGE, TBL_USER</t>
  </si>
  <si>
    <t>GET /chat/list, POST /chat/send</t>
  </si>
  <si>
    <t>SponsorDetail</t>
  </si>
  <si>
    <t>/sponsor/:sponsorNo</t>
  </si>
  <si>
    <t>광고 상세</t>
  </si>
  <si>
    <t>GET /sponsor/detail</t>
  </si>
  <si>
    <t>API 목록</t>
  </si>
  <si>
    <t>Method</t>
  </si>
  <si>
    <t>API</t>
  </si>
  <si>
    <t>요청 데이터</t>
  </si>
  <si>
    <t>응답 데이터</t>
  </si>
  <si>
    <t>회원</t>
  </si>
  <si>
    <t>POST</t>
  </si>
  <si>
    <t>/user/login</t>
  </si>
  <si>
    <t>userId, pwd</t>
  </si>
  <si>
    <t>token, userNo, nickname</t>
  </si>
  <si>
    <t>JWT 로그인</t>
  </si>
  <si>
    <t>/user/join</t>
  </si>
  <si>
    <t>userId, pwd, nickname, email</t>
  </si>
  <si>
    <t>result, message</t>
  </si>
  <si>
    <t>중복체크 포함</t>
  </si>
  <si>
    <t>GET</t>
  </si>
  <si>
    <t>/user/profile/:userNo</t>
  </si>
  <si>
    <t>userNo</t>
  </si>
  <si>
    <t>profile, feedList</t>
  </si>
  <si>
    <t>TBL_USER, FEED</t>
  </si>
  <si>
    <t>프로필 조회</t>
  </si>
  <si>
    <t>피드</t>
  </si>
  <si>
    <t>/feed/list</t>
  </si>
  <si>
    <t>token</t>
  </si>
  <si>
    <t>feedList</t>
  </si>
  <si>
    <t>홈피드</t>
  </si>
  <si>
    <t>/feed/explore</t>
  </si>
  <si>
    <t>검색어/지역/카테고리</t>
  </si>
  <si>
    <t>FEED, FEED_IMAGE</t>
  </si>
  <si>
    <t>탐색</t>
  </si>
  <si>
    <t>/feed/detail</t>
  </si>
  <si>
    <t>feedNo</t>
  </si>
  <si>
    <t>feed detail</t>
  </si>
  <si>
    <t>FEED, TBL_USER</t>
  </si>
  <si>
    <t>상세</t>
  </si>
  <si>
    <t>/feed/image/list</t>
  </si>
  <si>
    <t>imageList</t>
  </si>
  <si>
    <t>다중 이미지</t>
  </si>
  <si>
    <t>/feed/route/spot/list</t>
  </si>
  <si>
    <t>spotList</t>
  </si>
  <si>
    <t>루트 장소</t>
  </si>
  <si>
    <t>title, content, area, category, images, spots</t>
  </si>
  <si>
    <t>result, feedNo</t>
  </si>
  <si>
    <t>작성</t>
  </si>
  <si>
    <t>/feed/comment/list</t>
  </si>
  <si>
    <t>commentList</t>
  </si>
  <si>
    <t>FEED_COMMENT, TBL_USER</t>
  </si>
  <si>
    <t>댓글 목록</t>
  </si>
  <si>
    <t>/feed/comment/add</t>
  </si>
  <si>
    <t>feedNo, content</t>
  </si>
  <si>
    <t>result</t>
  </si>
  <si>
    <t>FEED_COMMENT, FEED</t>
  </si>
  <si>
    <t>댓글 수 증가</t>
  </si>
  <si>
    <t>/feed/comment/remove</t>
  </si>
  <si>
    <t>commentNo</t>
  </si>
  <si>
    <t>댓글 삭제</t>
  </si>
  <si>
    <t>/feed/like/toggle</t>
  </si>
  <si>
    <t>likedYn, likeCount</t>
  </si>
  <si>
    <t>FEED_LIKE, FEED</t>
  </si>
  <si>
    <t>중복 방지</t>
  </si>
  <si>
    <t>저장</t>
  </si>
  <si>
    <t>/feed/bookmark/toggle</t>
  </si>
  <si>
    <t>savedYn, bookmarkCount</t>
  </si>
  <si>
    <t>FEED_BOOKMARK, FEED</t>
  </si>
  <si>
    <t>팔로우</t>
  </si>
  <si>
    <t>/follow/toggle</t>
  </si>
  <si>
    <t>targetUserNo</t>
  </si>
  <si>
    <t>followYn</t>
  </si>
  <si>
    <t>팔로우/취소</t>
  </si>
  <si>
    <t>/follow/list</t>
  </si>
  <si>
    <t>followList</t>
  </si>
  <si>
    <t>USER_FOLLOW, TBL_USER</t>
  </si>
  <si>
    <t>팔로우 목록</t>
  </si>
  <si>
    <t>/follower/list</t>
  </si>
  <si>
    <t>followerList</t>
  </si>
  <si>
    <t>팔로워 목록</t>
  </si>
  <si>
    <t>스토리</t>
  </si>
  <si>
    <t>/story/user/list</t>
  </si>
  <si>
    <t>storyUserList</t>
  </si>
  <si>
    <t>STORY, STORY_VIEW, TBL_USER</t>
  </si>
  <si>
    <t>홈/프로필 스토리바</t>
  </si>
  <si>
    <t>/story/list</t>
  </si>
  <si>
    <t>storyList</t>
  </si>
  <si>
    <t>STORY, STORY_TEXT</t>
  </si>
  <si>
    <t>스토리 보기</t>
  </si>
  <si>
    <t>/story/view</t>
  </si>
  <si>
    <t>storyNo</t>
  </si>
  <si>
    <t>조회 처리</t>
  </si>
  <si>
    <t>/story/my/list</t>
  </si>
  <si>
    <t>myStoryList</t>
  </si>
  <si>
    <t>STORY, STORY_VIEW</t>
  </si>
  <si>
    <t>스토리 관리</t>
  </si>
  <si>
    <t>/story/viewer/list/:storyNo</t>
  </si>
  <si>
    <t>viewerList</t>
  </si>
  <si>
    <t>STORY_VIEW, TBL_USER</t>
  </si>
  <si>
    <t>작성자 조회자</t>
  </si>
  <si>
    <t>/story/add</t>
  </si>
  <si>
    <t>storyImage, content, textList</t>
  </si>
  <si>
    <t>스토리 꾸미기 업로드</t>
  </si>
  <si>
    <t>/story/remove</t>
  </si>
  <si>
    <t>스토리 삭제</t>
  </si>
  <si>
    <t>광고</t>
  </si>
  <si>
    <t>/sponsor/list</t>
  </si>
  <si>
    <t>-</t>
  </si>
  <si>
    <t>sponsorList</t>
  </si>
  <si>
    <t>홈 광고</t>
  </si>
  <si>
    <t>/sponsor/detail</t>
  </si>
  <si>
    <t>sponsorNo</t>
  </si>
  <si>
    <t>sponsor</t>
  </si>
  <si>
    <t>샘플 데이터 세팅 기준</t>
  </si>
  <si>
    <t>필요 데이터</t>
  </si>
  <si>
    <t>예시/기준</t>
  </si>
  <si>
    <t>발표에서 확인할 부분</t>
  </si>
  <si>
    <t>LOCAL/TRAVELER/GUIDE 여러 명</t>
  </si>
  <si>
    <t>local_user, traveler01 등 중립 닉네임 사용</t>
  </si>
  <si>
    <t>프로필 사진이 홈/상세/댓글/스토리에 표시</t>
  </si>
  <si>
    <t>최소 20~60개</t>
  </si>
  <si>
    <t>서울/부산/전주/경주/포항/안동/제주 등</t>
  </si>
  <si>
    <t>홈피드와 탐색이 비어 보이지 않게</t>
  </si>
  <si>
    <t>피드 이미지</t>
  </si>
  <si>
    <t>피드당 2~5장</t>
  </si>
  <si>
    <t>FEED_IMAGE에 IMG_ORDER로 저장</t>
  </si>
  <si>
    <t>홈/상세 슬라이드 확인</t>
  </si>
  <si>
    <t>피드당 2~5개</t>
  </si>
  <si>
    <t>성수역 → 카페 → 서울숲</t>
  </si>
  <si>
    <t>FeedDetail 우측 루트/지도 확인</t>
  </si>
  <si>
    <t>피드별 여러 개</t>
  </si>
  <si>
    <t>500자 제한 테스트</t>
  </si>
  <si>
    <t>댓글 카운트 반영</t>
  </si>
  <si>
    <t>좋아요/저장</t>
  </si>
  <si>
    <t>여러 회원으로 데이터 생성</t>
  </si>
  <si>
    <t>UNIQUE 중복 방지</t>
  </si>
  <si>
    <t>카운트/토글 확인</t>
  </si>
  <si>
    <t>회원 간 관계</t>
  </si>
  <si>
    <t>추천 여행자/프로필 팔로워</t>
  </si>
  <si>
    <t>팔로우/팔로잉 상태 확인</t>
  </si>
  <si>
    <t>활성/만료 스토리 모두</t>
  </si>
  <si>
    <t>EXPIRE_DATE 기준</t>
  </si>
  <si>
    <t>StoryBar, StoryManage 확인</t>
  </si>
  <si>
    <t>스토리 조회</t>
  </si>
  <si>
    <t>작성자 제외 조회자</t>
  </si>
  <si>
    <t>본 사람 목록/카운트 확인</t>
  </si>
  <si>
    <t>홈 광고 3개 이상</t>
  </si>
  <si>
    <t>오른쪽 슬라이드/상세 이동</t>
  </si>
  <si>
    <t>검수 체크</t>
  </si>
  <si>
    <t>검수 항목</t>
  </si>
  <si>
    <t>결과</t>
  </si>
  <si>
    <t>Oracle 타입으로 정리</t>
  </si>
  <si>
    <t>OK</t>
  </si>
  <si>
    <t>VARCHAR2, NUMBER, CLOB, DATE 기준</t>
  </si>
  <si>
    <t>기존 MySQL AUTO_INCREMENT 제거</t>
  </si>
  <si>
    <t>Oracle SEQ_*.NEXTVAL 기준으로 정리</t>
  </si>
  <si>
    <t>회원/프로필 사진 구조 반영</t>
  </si>
  <si>
    <t>TBL_USER.PROFILE_IMG</t>
  </si>
  <si>
    <t>피드 다중 이미지 반영</t>
  </si>
  <si>
    <t>FEED_IMAGE 분리</t>
  </si>
  <si>
    <t>루트 장소 기능 반영</t>
  </si>
  <si>
    <t>좋아요 중복 방지</t>
  </si>
  <si>
    <t>FEED_LIKE UNIQUE(FEED_NO, USER_NO) 권장</t>
  </si>
  <si>
    <t>저장 중복 방지</t>
  </si>
  <si>
    <t>FEED_BOOKMARK UNIQUE(FEED_NO, USER_NO) 권장</t>
  </si>
  <si>
    <t>팔로우 중복 방지</t>
  </si>
  <si>
    <t>USER_FOLLOW UNIQUE(FOLLOWER_NO, FOLLOWING_NO) 권장</t>
  </si>
  <si>
    <t>스토리 24시간 만료 반영</t>
  </si>
  <si>
    <t>STORY.EXPIRE_DATE</t>
  </si>
  <si>
    <t>스토리 조회자 반영</t>
  </si>
  <si>
    <t>스토리 꾸미기 반영</t>
  </si>
  <si>
    <t>STORY_TEXT 선택 테이블</t>
  </si>
  <si>
    <t>채팅/알림은 확장 기능으로 분리</t>
  </si>
  <si>
    <t>CHAT_MESSAGE, NOTIFICATION은 선택</t>
  </si>
  <si>
    <t>발표 전 마지막 확인</t>
  </si>
  <si>
    <t>TODO</t>
  </si>
  <si>
    <t>스토리 업로드, 홈/프로필 즉시 반영, 이미지 경로 확인</t>
  </si>
  <si>
    <t>권장 제약/인덱스</t>
  </si>
  <si>
    <t>대상</t>
  </si>
  <si>
    <t>목적</t>
  </si>
  <si>
    <t>UNIQUE</t>
  </si>
  <si>
    <t>TBL_USER.USER_ID</t>
  </si>
  <si>
    <t>아이디 중복 방지</t>
  </si>
  <si>
    <t>TBL_USER.NICKNAME</t>
  </si>
  <si>
    <t>닉네임 중복 방지</t>
  </si>
  <si>
    <t>FEED_LIKE(FEED_NO, USER_NO)</t>
  </si>
  <si>
    <t>FEED_BOOKMARK(FEED_NO, USER_NO)</t>
  </si>
  <si>
    <t>USER_FOLLOW(FOLLOWER_NO, FOLLOWING_NO)</t>
  </si>
  <si>
    <t>STORY_VIEW(STORY_NO, VIEWER_NO)</t>
  </si>
  <si>
    <t>스토리 조회 중복 방지</t>
  </si>
  <si>
    <t>INDEX</t>
  </si>
  <si>
    <t>FEED(USER_NO)</t>
  </si>
  <si>
    <t>프로필 작성 피드 조회</t>
  </si>
  <si>
    <t>FEED(AREA, CATEGORY)</t>
  </si>
  <si>
    <t>탐색/검색 성능</t>
  </si>
  <si>
    <t>FEED_IMAGE(FEED_NO, IMG_ORDER)</t>
  </si>
  <si>
    <t>이미지 순서 조회</t>
  </si>
  <si>
    <t>FEED_ROUTE_SPOT(FEED_NO, SPOT_ORDER)</t>
  </si>
  <si>
    <t>루트 장소 순서 조회</t>
  </si>
  <si>
    <t>STORY(USER_NO, EXPIRE_DATE)</t>
  </si>
  <si>
    <t>스토리 활성 목록 조회</t>
  </si>
  <si>
    <r>
      <t xml:space="preserve">K-STEP DB </t>
    </r>
    <r>
      <rPr>
        <b/>
        <sz val="16"/>
        <color rgb="FFFFFFFF"/>
        <rFont val="맑은 고딕"/>
        <family val="3"/>
        <charset val="129"/>
      </rPr>
      <t>설계서</t>
    </r>
    <r>
      <rPr>
        <b/>
        <sz val="16"/>
        <color rgb="FFFFFFFF"/>
        <rFont val="Arial"/>
        <family val="2"/>
      </rPr>
      <t xml:space="preserve"> 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</si>
</sst>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Carlito"/>
    </font>
    <font>
      <b/>
      <sz val="10"/>
      <color rgb="FFA45F76"/>
      <name val="Carlito"/>
    </font>
    <font>
      <b/>
      <sz val="10"/>
      <color rgb="FFFFFFFF"/>
      <name val="Carlito"/>
    </font>
    <font>
      <sz val="10"/>
      <color rgb="FF2B1D3D"/>
      <name val="Carlito"/>
    </font>
    <font>
      <b/>
      <sz val="12"/>
      <color rgb="FFA45F76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b/>
      <sz val="16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B4A8D"/>
      </patternFill>
    </fill>
    <fill>
      <patternFill patternType="solid">
        <fgColor rgb="FFFFF0F4"/>
      </patternFill>
    </fill>
    <fill>
      <patternFill patternType="solid">
        <fgColor rgb="FFE9839B"/>
      </patternFill>
    </fill>
    <fill>
      <patternFill patternType="solid">
        <fgColor rgb="FFFFF7E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6" fillId="4" borderId="0" xfId="1" applyFont="1" applyFill="1" applyAlignment="1">
      <alignment horizontal="center"/>
    </xf>
    <xf numFmtId="0" fontId="4" fillId="6" borderId="0" xfId="1" applyFont="1" applyFill="1" applyAlignment="1">
      <alignment wrapText="1"/>
    </xf>
    <xf numFmtId="1" fontId="4" fillId="0" borderId="0" xfId="1" applyNumberFormat="1" applyFont="1" applyAlignment="1">
      <alignment vertical="top" wrapText="1"/>
    </xf>
    <xf numFmtId="1" fontId="4" fillId="6" borderId="0" xfId="1" applyNumberFormat="1" applyFont="1" applyFill="1" applyAlignment="1">
      <alignment wrapText="1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0" xfId="1" applyFont="1" applyFill="1" applyAlignment="1">
      <alignment vertical="center"/>
    </xf>
    <xf numFmtId="0" fontId="5" fillId="5" borderId="0" xfId="1" applyFont="1" applyFill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4"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E8F7EE"/>
        </patternFill>
      </fill>
    </dxf>
    <dxf>
      <font>
        <color rgb="FFA45F76"/>
      </font>
      <fill>
        <patternFill patternType="solid">
          <bgColor rgb="FFFFF7E8"/>
        </patternFill>
      </fill>
    </dxf>
    <dxf>
      <font>
        <color rgb="FF166534"/>
      </font>
      <fill>
        <patternFill patternType="solid">
          <bgColor rgb="FFE8F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00간단개요Table" displayName="_00간단개요Table" ref="A4:B15">
  <tableColumns count="2">
    <tableColumn id="1" xr3:uid="{00000000-0010-0000-0000-000001000000}" name="구분"/>
    <tableColumn id="2" xr3:uid="{00000000-0010-0000-0000-000002000000}" name="내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01ERDTable" displayName="_01ERDTable" ref="A4:F21">
  <tableColumns count="6">
    <tableColumn id="1" xr3:uid="{00000000-0010-0000-0100-000001000000}" name="No"/>
    <tableColumn id="2" xr3:uid="{00000000-0010-0000-0100-000002000000}" name="부모 테이블"/>
    <tableColumn id="3" xr3:uid="{00000000-0010-0000-0100-000003000000}" name="관계"/>
    <tableColumn id="4" xr3:uid="{00000000-0010-0000-0100-000004000000}" name="자식 테이블"/>
    <tableColumn id="5" xr3:uid="{00000000-0010-0000-0100-000005000000}" name="FK 컬럼"/>
    <tableColumn id="6" xr3:uid="{00000000-0010-0000-0100-000006000000}" name="설명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02테이블목록Table" displayName="_02테이블목록Table" ref="A4:G18">
  <tableColumns count="7">
    <tableColumn id="1" xr3:uid="{00000000-0010-0000-0200-000001000000}" name="No"/>
    <tableColumn id="2" xr3:uid="{00000000-0010-0000-0200-000002000000}" name="테이블명"/>
    <tableColumn id="3" xr3:uid="{00000000-0010-0000-0200-000003000000}" name="용도"/>
    <tableColumn id="4" xr3:uid="{00000000-0010-0000-0200-000004000000}" name="중요도"/>
    <tableColumn id="5" xr3:uid="{00000000-0010-0000-0200-000005000000}" name="구현상태"/>
    <tableColumn id="6" xr3:uid="{00000000-0010-0000-0200-000006000000}" name="사용 화면"/>
    <tableColumn id="7" xr3:uid="{00000000-0010-0000-0200-000007000000}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03컬럼정의Table" displayName="_03컬럼정의Table" ref="A4:H103">
  <tableColumns count="8">
    <tableColumn id="1" xr3:uid="{00000000-0010-0000-0300-000001000000}" name="테이블명"/>
    <tableColumn id="2" xr3:uid="{00000000-0010-0000-0300-000002000000}" name="컬럼명"/>
    <tableColumn id="3" xr3:uid="{00000000-0010-0000-0300-000003000000}" name="Oracle 타입"/>
    <tableColumn id="4" xr3:uid="{00000000-0010-0000-0300-000004000000}" name="PK"/>
    <tableColumn id="5" xr3:uid="{00000000-0010-0000-0300-000005000000}" name="FK"/>
    <tableColumn id="6" xr3:uid="{00000000-0010-0000-0300-000006000000}" name="NULL"/>
    <tableColumn id="7" xr3:uid="{00000000-0010-0000-0300-000007000000}" name="기본값"/>
    <tableColumn id="8" xr3:uid="{00000000-0010-0000-0300-000008000000}" name="설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04화면매핑Table" displayName="_04화면매핑Table" ref="A4:F16">
  <tableColumns count="6">
    <tableColumn id="1" xr3:uid="{00000000-0010-0000-0400-000001000000}" name="화면"/>
    <tableColumn id="2" xr3:uid="{00000000-0010-0000-0400-000002000000}" name="Route"/>
    <tableColumn id="3" xr3:uid="{00000000-0010-0000-0400-000003000000}" name="주요 기능"/>
    <tableColumn id="4" xr3:uid="{00000000-0010-0000-0400-000004000000}" name="사용 테이블"/>
    <tableColumn id="5" xr3:uid="{00000000-0010-0000-0400-000005000000}" name="주요 API"/>
    <tableColumn id="6" xr3:uid="{00000000-0010-0000-0400-000006000000}" name="완성도/비고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05API목록Table" displayName="_05API목록Table" ref="A4:G30">
  <tableColumns count="7">
    <tableColumn id="1" xr3:uid="{00000000-0010-0000-0500-000001000000}" name="구분"/>
    <tableColumn id="2" xr3:uid="{00000000-0010-0000-0500-000002000000}" name="Method"/>
    <tableColumn id="3" xr3:uid="{00000000-0010-0000-0500-000003000000}" name="API"/>
    <tableColumn id="4" xr3:uid="{00000000-0010-0000-0500-000004000000}" name="요청 데이터"/>
    <tableColumn id="5" xr3:uid="{00000000-0010-0000-0500-000005000000}" name="응답 데이터"/>
    <tableColumn id="6" xr3:uid="{00000000-0010-0000-0500-000006000000}" name="사용 테이블"/>
    <tableColumn id="7" xr3:uid="{00000000-0010-0000-0500-000007000000}" name="비고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06샘플데이터Table" displayName="_06샘플데이터Table" ref="A4:D14">
  <tableColumns count="4">
    <tableColumn id="1" xr3:uid="{00000000-0010-0000-0600-000001000000}" name="구분"/>
    <tableColumn id="2" xr3:uid="{00000000-0010-0000-0600-000002000000}" name="필요 데이터"/>
    <tableColumn id="3" xr3:uid="{00000000-0010-0000-0600-000003000000}" name="예시/기준"/>
    <tableColumn id="4" xr3:uid="{00000000-0010-0000-0600-000004000000}" name="발표에서 확인할 부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07검수체크Table" displayName="_07검수체크Table" ref="A4:C30">
  <tableColumns count="3">
    <tableColumn id="1" xr3:uid="{00000000-0010-0000-0700-000001000000}" name="검수 항목"/>
    <tableColumn id="2" xr3:uid="{00000000-0010-0000-0700-000002000000}" name="결과"/>
    <tableColumn id="3" xr3:uid="{00000000-0010-0000-0700-000003000000}" name="설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E10" sqref="E10"/>
    </sheetView>
  </sheetViews>
  <sheetFormatPr defaultRowHeight="13.8"/>
  <cols>
    <col min="1" max="1" width="18" customWidth="1"/>
    <col min="2" max="2" width="70" customWidth="1"/>
    <col min="3" max="3" width="28" customWidth="1"/>
    <col min="4" max="4" width="18" customWidth="1"/>
    <col min="5" max="5" width="55" customWidth="1"/>
    <col min="6" max="6" width="30" customWidth="1"/>
    <col min="7" max="7" width="20" customWidth="1"/>
    <col min="8" max="8" width="42" customWidth="1"/>
  </cols>
  <sheetData>
    <row r="1" spans="1:8" ht="25.65" customHeight="1">
      <c r="A1" s="7" t="s">
        <v>599</v>
      </c>
      <c r="B1" s="8"/>
      <c r="C1" s="8"/>
      <c r="D1" s="8"/>
      <c r="E1" s="8"/>
      <c r="F1" s="8"/>
      <c r="G1" s="8"/>
      <c r="H1" s="8"/>
    </row>
    <row r="2" spans="1:8" ht="22.35" customHeight="1">
      <c r="A2" s="9"/>
      <c r="B2" s="8"/>
      <c r="C2" s="8"/>
      <c r="D2" s="8"/>
      <c r="E2" s="8"/>
      <c r="F2" s="8"/>
      <c r="G2" s="8"/>
      <c r="H2" s="8"/>
    </row>
    <row r="3" spans="1:8" ht="6.45" customHeight="1"/>
    <row r="4" spans="1:8" ht="12" customHeight="1">
      <c r="A4" s="1" t="s">
        <v>0</v>
      </c>
      <c r="B4" s="1" t="s">
        <v>1</v>
      </c>
      <c r="D4" s="10" t="s">
        <v>2</v>
      </c>
      <c r="E4" s="8"/>
      <c r="F4" s="8"/>
      <c r="G4" s="8"/>
      <c r="H4" s="8"/>
    </row>
    <row r="5" spans="1:8" ht="12" customHeight="1">
      <c r="A5" s="2" t="s">
        <v>3</v>
      </c>
      <c r="B5" s="2" t="s">
        <v>4</v>
      </c>
      <c r="D5" s="3" t="s">
        <v>5</v>
      </c>
      <c r="E5" s="3" t="s">
        <v>6</v>
      </c>
    </row>
    <row r="6" spans="1:8" ht="28.8" customHeight="1">
      <c r="A6" s="2" t="s">
        <v>7</v>
      </c>
      <c r="B6" s="2" t="s">
        <v>8</v>
      </c>
      <c r="D6" s="4" t="s">
        <v>9</v>
      </c>
      <c r="E6" s="6">
        <f>B12</f>
        <v>14</v>
      </c>
    </row>
    <row r="7" spans="1:8" ht="28.8" customHeight="1">
      <c r="A7" s="2" t="s">
        <v>10</v>
      </c>
      <c r="B7" s="2" t="s">
        <v>11</v>
      </c>
      <c r="D7" s="4" t="s">
        <v>12</v>
      </c>
      <c r="E7" s="6">
        <f>B13</f>
        <v>99</v>
      </c>
    </row>
    <row r="8" spans="1:8" ht="48" customHeight="1">
      <c r="A8" s="2" t="s">
        <v>13</v>
      </c>
      <c r="B8" s="2" t="s">
        <v>14</v>
      </c>
      <c r="D8" s="4" t="s">
        <v>15</v>
      </c>
      <c r="E8" s="6">
        <f>B14</f>
        <v>11</v>
      </c>
    </row>
    <row r="9" spans="1:8" ht="48" customHeight="1">
      <c r="A9" s="2" t="s">
        <v>16</v>
      </c>
      <c r="B9" s="2" t="s">
        <v>17</v>
      </c>
      <c r="D9" s="4" t="s">
        <v>18</v>
      </c>
      <c r="E9" s="6">
        <f>B15</f>
        <v>3</v>
      </c>
    </row>
    <row r="10" spans="1:8" ht="38.4" customHeight="1">
      <c r="A10" s="2" t="s">
        <v>19</v>
      </c>
      <c r="B10" s="2" t="s">
        <v>20</v>
      </c>
      <c r="D10" s="4" t="s">
        <v>21</v>
      </c>
      <c r="E10" s="4" t="s">
        <v>22</v>
      </c>
    </row>
    <row r="11" spans="1:8" ht="38.4" customHeight="1">
      <c r="A11" s="2" t="s">
        <v>23</v>
      </c>
      <c r="B11" s="2" t="s">
        <v>24</v>
      </c>
      <c r="D11" s="4" t="s">
        <v>25</v>
      </c>
      <c r="E11" s="4" t="s">
        <v>26</v>
      </c>
    </row>
    <row r="12" spans="1:8" ht="12" customHeight="1">
      <c r="A12" s="2" t="s">
        <v>9</v>
      </c>
      <c r="B12" s="5">
        <f>COUNTA('02_테이블목록'!B5:B60)</f>
        <v>14</v>
      </c>
    </row>
    <row r="13" spans="1:8" ht="12" customHeight="1">
      <c r="A13" s="2" t="s">
        <v>12</v>
      </c>
      <c r="B13" s="5">
        <f>COUNTA('03_컬럼정의'!B5:B300)</f>
        <v>99</v>
      </c>
    </row>
    <row r="14" spans="1:8" ht="12" customHeight="1">
      <c r="A14" s="2" t="s">
        <v>27</v>
      </c>
      <c r="B14" s="5">
        <f>COUNTIF('02_테이블목록'!E5:E60,"구현")</f>
        <v>11</v>
      </c>
    </row>
    <row r="15" spans="1:8" ht="12" customHeight="1">
      <c r="A15" s="2" t="s">
        <v>28</v>
      </c>
      <c r="B15" s="5">
        <f>COUNTIF('02_테이블목록'!E5:E60,"선택")</f>
        <v>3</v>
      </c>
    </row>
  </sheetData>
  <mergeCells count="3">
    <mergeCell ref="A1:H1"/>
    <mergeCell ref="A2:H2"/>
    <mergeCell ref="D4:H4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A2" sqref="A2:H2"/>
    </sheetView>
  </sheetViews>
  <sheetFormatPr defaultRowHeight="13.8"/>
  <cols>
    <col min="1" max="1" width="8" customWidth="1"/>
    <col min="2" max="2" width="22" customWidth="1"/>
    <col min="3" max="3" width="10" customWidth="1"/>
    <col min="4" max="4" width="24" customWidth="1"/>
    <col min="5" max="5" width="36" customWidth="1"/>
    <col min="6" max="6" width="48" customWidth="1"/>
    <col min="7" max="7" width="20" customWidth="1"/>
    <col min="8" max="8" width="42" customWidth="1"/>
  </cols>
  <sheetData>
    <row r="1" spans="1:8" ht="25.65" customHeight="1">
      <c r="A1" s="7" t="s">
        <v>29</v>
      </c>
      <c r="B1" s="8"/>
      <c r="C1" s="8"/>
      <c r="D1" s="8"/>
      <c r="E1" s="8"/>
      <c r="F1" s="8"/>
      <c r="G1" s="8"/>
      <c r="H1" s="8"/>
    </row>
    <row r="2" spans="1:8" ht="22.35" customHeight="1">
      <c r="A2" s="9"/>
      <c r="B2" s="8"/>
      <c r="C2" s="8"/>
      <c r="D2" s="8"/>
      <c r="E2" s="8"/>
      <c r="F2" s="8"/>
      <c r="G2" s="8"/>
      <c r="H2" s="8"/>
    </row>
    <row r="3" spans="1:8" ht="6.45" customHeight="1"/>
    <row r="4" spans="1:8" ht="12" customHeight="1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</row>
    <row r="5" spans="1:8" ht="19.2" customHeight="1">
      <c r="A5" s="2">
        <v>1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</row>
    <row r="6" spans="1:8" ht="19.2" customHeight="1">
      <c r="A6" s="2">
        <v>2</v>
      </c>
      <c r="B6" s="2" t="s">
        <v>36</v>
      </c>
      <c r="C6" s="2" t="s">
        <v>37</v>
      </c>
      <c r="D6" s="2" t="s">
        <v>41</v>
      </c>
      <c r="E6" s="2" t="s">
        <v>42</v>
      </c>
      <c r="F6" s="2" t="s">
        <v>43</v>
      </c>
    </row>
    <row r="7" spans="1:8" ht="12" customHeight="1">
      <c r="A7" s="2">
        <v>3</v>
      </c>
      <c r="B7" s="2" t="s">
        <v>36</v>
      </c>
      <c r="C7" s="2" t="s">
        <v>37</v>
      </c>
      <c r="D7" s="2" t="s">
        <v>44</v>
      </c>
      <c r="E7" s="2" t="s">
        <v>45</v>
      </c>
      <c r="F7" s="2" t="s">
        <v>46</v>
      </c>
    </row>
    <row r="8" spans="1:8" ht="19.2" customHeight="1">
      <c r="A8" s="2">
        <v>4</v>
      </c>
      <c r="B8" s="2" t="s">
        <v>36</v>
      </c>
      <c r="C8" s="2" t="s">
        <v>37</v>
      </c>
      <c r="D8" s="2" t="s">
        <v>47</v>
      </c>
      <c r="E8" s="2" t="s">
        <v>48</v>
      </c>
      <c r="F8" s="2" t="s">
        <v>49</v>
      </c>
    </row>
    <row r="9" spans="1:8" ht="12" customHeight="1">
      <c r="A9" s="2">
        <v>5</v>
      </c>
      <c r="B9" s="2" t="s">
        <v>36</v>
      </c>
      <c r="C9" s="2" t="s">
        <v>37</v>
      </c>
      <c r="D9" s="2" t="s">
        <v>50</v>
      </c>
      <c r="E9" s="2" t="s">
        <v>51</v>
      </c>
      <c r="F9" s="2" t="s">
        <v>52</v>
      </c>
    </row>
    <row r="10" spans="1:8" ht="19.2" customHeight="1">
      <c r="A10" s="2">
        <v>6</v>
      </c>
      <c r="B10" s="2" t="s">
        <v>36</v>
      </c>
      <c r="C10" s="2" t="s">
        <v>37</v>
      </c>
      <c r="D10" s="2" t="s">
        <v>53</v>
      </c>
      <c r="E10" s="2" t="s">
        <v>54</v>
      </c>
      <c r="F10" s="2" t="s">
        <v>55</v>
      </c>
    </row>
    <row r="11" spans="1:8" ht="19.2" customHeight="1">
      <c r="A11" s="2">
        <v>7</v>
      </c>
      <c r="B11" s="2" t="s">
        <v>36</v>
      </c>
      <c r="C11" s="2" t="s">
        <v>37</v>
      </c>
      <c r="D11" s="2" t="s">
        <v>56</v>
      </c>
      <c r="E11" s="2" t="s">
        <v>57</v>
      </c>
      <c r="F11" s="2" t="s">
        <v>58</v>
      </c>
    </row>
    <row r="12" spans="1:8" ht="19.2" customHeight="1">
      <c r="A12" s="2">
        <v>8</v>
      </c>
      <c r="B12" s="2" t="s">
        <v>36</v>
      </c>
      <c r="C12" s="2" t="s">
        <v>37</v>
      </c>
      <c r="D12" s="2" t="s">
        <v>56</v>
      </c>
      <c r="E12" s="2" t="s">
        <v>59</v>
      </c>
      <c r="F12" s="2" t="s">
        <v>60</v>
      </c>
    </row>
    <row r="13" spans="1:8" ht="12" customHeight="1">
      <c r="A13" s="2">
        <v>9</v>
      </c>
      <c r="B13" s="2" t="s">
        <v>38</v>
      </c>
      <c r="C13" s="2" t="s">
        <v>37</v>
      </c>
      <c r="D13" s="2" t="s">
        <v>61</v>
      </c>
      <c r="E13" s="2" t="s">
        <v>62</v>
      </c>
      <c r="F13" s="2" t="s">
        <v>63</v>
      </c>
    </row>
    <row r="14" spans="1:8" ht="19.2" customHeight="1">
      <c r="A14" s="2">
        <v>10</v>
      </c>
      <c r="B14" s="2" t="s">
        <v>38</v>
      </c>
      <c r="C14" s="2" t="s">
        <v>37</v>
      </c>
      <c r="D14" s="2" t="s">
        <v>64</v>
      </c>
      <c r="E14" s="2" t="s">
        <v>65</v>
      </c>
      <c r="F14" s="2" t="s">
        <v>66</v>
      </c>
    </row>
    <row r="15" spans="1:8" ht="19.2" customHeight="1">
      <c r="A15" s="2">
        <v>11</v>
      </c>
      <c r="B15" s="2" t="s">
        <v>38</v>
      </c>
      <c r="C15" s="2" t="s">
        <v>37</v>
      </c>
      <c r="D15" s="2" t="s">
        <v>41</v>
      </c>
      <c r="E15" s="2" t="s">
        <v>67</v>
      </c>
      <c r="F15" s="2" t="s">
        <v>68</v>
      </c>
    </row>
    <row r="16" spans="1:8" ht="12" customHeight="1">
      <c r="A16" s="2">
        <v>12</v>
      </c>
      <c r="B16" s="2" t="s">
        <v>38</v>
      </c>
      <c r="C16" s="2" t="s">
        <v>37</v>
      </c>
      <c r="D16" s="2" t="s">
        <v>44</v>
      </c>
      <c r="E16" s="2" t="s">
        <v>69</v>
      </c>
      <c r="F16" s="2" t="s">
        <v>70</v>
      </c>
    </row>
    <row r="17" spans="1:6" ht="19.2" customHeight="1">
      <c r="A17" s="2">
        <v>13</v>
      </c>
      <c r="B17" s="2" t="s">
        <v>38</v>
      </c>
      <c r="C17" s="2" t="s">
        <v>37</v>
      </c>
      <c r="D17" s="2" t="s">
        <v>47</v>
      </c>
      <c r="E17" s="2" t="s">
        <v>71</v>
      </c>
      <c r="F17" s="2" t="s">
        <v>72</v>
      </c>
    </row>
    <row r="18" spans="1:6" ht="12" customHeight="1">
      <c r="A18" s="2">
        <v>14</v>
      </c>
      <c r="B18" s="2" t="s">
        <v>50</v>
      </c>
      <c r="C18" s="2" t="s">
        <v>37</v>
      </c>
      <c r="D18" s="2" t="s">
        <v>53</v>
      </c>
      <c r="E18" s="2" t="s">
        <v>73</v>
      </c>
      <c r="F18" s="2" t="s">
        <v>74</v>
      </c>
    </row>
    <row r="19" spans="1:6" ht="12" customHeight="1">
      <c r="A19" s="2">
        <v>15</v>
      </c>
      <c r="B19" s="2" t="s">
        <v>50</v>
      </c>
      <c r="C19" s="2" t="s">
        <v>37</v>
      </c>
      <c r="D19" s="2" t="s">
        <v>75</v>
      </c>
      <c r="E19" s="2" t="s">
        <v>76</v>
      </c>
      <c r="F19" s="2" t="s">
        <v>77</v>
      </c>
    </row>
    <row r="20" spans="1:6" ht="19.2" customHeight="1">
      <c r="A20" s="2">
        <v>16</v>
      </c>
      <c r="B20" s="2" t="s">
        <v>36</v>
      </c>
      <c r="C20" s="2" t="s">
        <v>37</v>
      </c>
      <c r="D20" s="2" t="s">
        <v>78</v>
      </c>
      <c r="E20" s="2" t="s">
        <v>79</v>
      </c>
      <c r="F20" s="2" t="s">
        <v>80</v>
      </c>
    </row>
    <row r="21" spans="1:6" ht="19.2" customHeight="1">
      <c r="A21" s="2">
        <v>17</v>
      </c>
      <c r="B21" s="2" t="s">
        <v>36</v>
      </c>
      <c r="C21" s="2" t="s">
        <v>37</v>
      </c>
      <c r="D21" s="2" t="s">
        <v>81</v>
      </c>
      <c r="E21" s="2" t="s">
        <v>82</v>
      </c>
      <c r="F21" s="2" t="s">
        <v>83</v>
      </c>
    </row>
  </sheetData>
  <mergeCells count="2">
    <mergeCell ref="A1:H1"/>
    <mergeCell ref="A2:H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A2" sqref="A2:H2"/>
    </sheetView>
  </sheetViews>
  <sheetFormatPr defaultRowHeight="13.8"/>
  <cols>
    <col min="1" max="1" width="8" customWidth="1"/>
    <col min="2" max="2" width="22" customWidth="1"/>
    <col min="3" max="3" width="28" customWidth="1"/>
    <col min="4" max="5" width="12" customWidth="1"/>
    <col min="6" max="6" width="42" customWidth="1"/>
    <col min="7" max="7" width="46" customWidth="1"/>
    <col min="8" max="8" width="42" customWidth="1"/>
  </cols>
  <sheetData>
    <row r="1" spans="1:8" ht="25.65" customHeight="1">
      <c r="A1" s="7" t="s">
        <v>84</v>
      </c>
      <c r="B1" s="8"/>
      <c r="C1" s="8"/>
      <c r="D1" s="8"/>
      <c r="E1" s="8"/>
      <c r="F1" s="8"/>
      <c r="G1" s="8"/>
      <c r="H1" s="8"/>
    </row>
    <row r="2" spans="1:8" ht="22.35" customHeight="1">
      <c r="A2" s="9"/>
      <c r="B2" s="8"/>
      <c r="C2" s="8"/>
      <c r="D2" s="8"/>
      <c r="E2" s="8"/>
      <c r="F2" s="8"/>
      <c r="G2" s="8"/>
      <c r="H2" s="8"/>
    </row>
    <row r="3" spans="1:8" ht="6.45" customHeight="1"/>
    <row r="4" spans="1:8" ht="12" customHeight="1">
      <c r="A4" s="1" t="s">
        <v>30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</row>
    <row r="5" spans="1:8" ht="28.8" customHeight="1">
      <c r="A5" s="2">
        <v>1</v>
      </c>
      <c r="B5" s="2" t="s">
        <v>36</v>
      </c>
      <c r="C5" s="2" t="s">
        <v>91</v>
      </c>
      <c r="D5" s="2" t="s">
        <v>92</v>
      </c>
      <c r="E5" s="2" t="s">
        <v>93</v>
      </c>
      <c r="F5" s="2" t="s">
        <v>94</v>
      </c>
      <c r="G5" s="2" t="s">
        <v>95</v>
      </c>
    </row>
    <row r="6" spans="1:8" ht="19.2" customHeight="1">
      <c r="A6" s="2">
        <v>2</v>
      </c>
      <c r="B6" s="2" t="s">
        <v>38</v>
      </c>
      <c r="C6" s="2" t="s">
        <v>96</v>
      </c>
      <c r="D6" s="2" t="s">
        <v>92</v>
      </c>
      <c r="E6" s="2" t="s">
        <v>93</v>
      </c>
      <c r="F6" s="2" t="s">
        <v>97</v>
      </c>
      <c r="G6" s="2" t="s">
        <v>98</v>
      </c>
    </row>
    <row r="7" spans="1:8" ht="12" customHeight="1">
      <c r="A7" s="2">
        <v>3</v>
      </c>
      <c r="B7" s="2" t="s">
        <v>61</v>
      </c>
      <c r="C7" s="2" t="s">
        <v>99</v>
      </c>
      <c r="D7" s="2" t="s">
        <v>92</v>
      </c>
      <c r="E7" s="2" t="s">
        <v>93</v>
      </c>
      <c r="F7" s="2" t="s">
        <v>100</v>
      </c>
      <c r="G7" s="2" t="s">
        <v>101</v>
      </c>
    </row>
    <row r="8" spans="1:8" ht="12" customHeight="1">
      <c r="A8" s="2">
        <v>4</v>
      </c>
      <c r="B8" s="2" t="s">
        <v>64</v>
      </c>
      <c r="C8" s="2" t="s">
        <v>102</v>
      </c>
      <c r="D8" s="2" t="s">
        <v>92</v>
      </c>
      <c r="E8" s="2" t="s">
        <v>93</v>
      </c>
      <c r="F8" s="2" t="s">
        <v>103</v>
      </c>
      <c r="G8" s="2" t="s">
        <v>104</v>
      </c>
    </row>
    <row r="9" spans="1:8" ht="12" customHeight="1">
      <c r="A9" s="2">
        <v>5</v>
      </c>
      <c r="B9" s="2" t="s">
        <v>41</v>
      </c>
      <c r="C9" s="2" t="s">
        <v>105</v>
      </c>
      <c r="D9" s="2" t="s">
        <v>92</v>
      </c>
      <c r="E9" s="2" t="s">
        <v>93</v>
      </c>
      <c r="F9" s="2" t="s">
        <v>106</v>
      </c>
      <c r="G9" s="2" t="s">
        <v>107</v>
      </c>
    </row>
    <row r="10" spans="1:8" ht="19.2" customHeight="1">
      <c r="A10" s="2">
        <v>6</v>
      </c>
      <c r="B10" s="2" t="s">
        <v>44</v>
      </c>
      <c r="C10" s="2" t="s">
        <v>108</v>
      </c>
      <c r="D10" s="2" t="s">
        <v>92</v>
      </c>
      <c r="E10" s="2" t="s">
        <v>93</v>
      </c>
      <c r="F10" s="2" t="s">
        <v>109</v>
      </c>
      <c r="G10" s="2" t="s">
        <v>110</v>
      </c>
    </row>
    <row r="11" spans="1:8" ht="12" customHeight="1">
      <c r="A11" s="2">
        <v>7</v>
      </c>
      <c r="B11" s="2" t="s">
        <v>47</v>
      </c>
      <c r="C11" s="2" t="s">
        <v>111</v>
      </c>
      <c r="D11" s="2" t="s">
        <v>92</v>
      </c>
      <c r="E11" s="2" t="s">
        <v>93</v>
      </c>
      <c r="F11" s="2" t="s">
        <v>112</v>
      </c>
      <c r="G11" s="2" t="s">
        <v>113</v>
      </c>
    </row>
    <row r="12" spans="1:8" ht="19.2" customHeight="1">
      <c r="A12" s="2">
        <v>8</v>
      </c>
      <c r="B12" s="2" t="s">
        <v>56</v>
      </c>
      <c r="C12" s="2" t="s">
        <v>114</v>
      </c>
      <c r="D12" s="2" t="s">
        <v>92</v>
      </c>
      <c r="E12" s="2" t="s">
        <v>93</v>
      </c>
      <c r="F12" s="2" t="s">
        <v>115</v>
      </c>
      <c r="G12" s="2" t="s">
        <v>116</v>
      </c>
    </row>
    <row r="13" spans="1:8" ht="19.2" customHeight="1">
      <c r="A13" s="2">
        <v>9</v>
      </c>
      <c r="B13" s="2" t="s">
        <v>50</v>
      </c>
      <c r="C13" s="2" t="s">
        <v>117</v>
      </c>
      <c r="D13" s="2" t="s">
        <v>92</v>
      </c>
      <c r="E13" s="2" t="s">
        <v>93</v>
      </c>
      <c r="F13" s="2" t="s">
        <v>118</v>
      </c>
      <c r="G13" s="2" t="s">
        <v>119</v>
      </c>
    </row>
    <row r="14" spans="1:8" ht="12" customHeight="1">
      <c r="A14" s="2">
        <v>10</v>
      </c>
      <c r="B14" s="2" t="s">
        <v>53</v>
      </c>
      <c r="C14" s="2" t="s">
        <v>120</v>
      </c>
      <c r="D14" s="2" t="s">
        <v>92</v>
      </c>
      <c r="E14" s="2" t="s">
        <v>93</v>
      </c>
      <c r="F14" s="2" t="s">
        <v>121</v>
      </c>
      <c r="G14" s="2" t="s">
        <v>122</v>
      </c>
    </row>
    <row r="15" spans="1:8" ht="19.2" customHeight="1">
      <c r="A15" s="2">
        <v>11</v>
      </c>
      <c r="B15" s="2" t="s">
        <v>75</v>
      </c>
      <c r="C15" s="2" t="s">
        <v>123</v>
      </c>
      <c r="D15" s="2" t="s">
        <v>124</v>
      </c>
      <c r="E15" s="2" t="s">
        <v>124</v>
      </c>
      <c r="F15" s="2" t="s">
        <v>125</v>
      </c>
      <c r="G15" s="2" t="s">
        <v>126</v>
      </c>
    </row>
    <row r="16" spans="1:8" ht="12" customHeight="1">
      <c r="A16" s="2">
        <v>12</v>
      </c>
      <c r="B16" s="2" t="s">
        <v>127</v>
      </c>
      <c r="C16" s="2" t="s">
        <v>128</v>
      </c>
      <c r="D16" s="2" t="s">
        <v>124</v>
      </c>
      <c r="E16" s="2" t="s">
        <v>93</v>
      </c>
      <c r="F16" s="2" t="s">
        <v>129</v>
      </c>
      <c r="G16" s="2" t="s">
        <v>130</v>
      </c>
    </row>
    <row r="17" spans="1:7" ht="12" customHeight="1">
      <c r="A17" s="2">
        <v>13</v>
      </c>
      <c r="B17" s="2" t="s">
        <v>78</v>
      </c>
      <c r="C17" s="2" t="s">
        <v>131</v>
      </c>
      <c r="D17" s="2" t="s">
        <v>124</v>
      </c>
      <c r="E17" s="2" t="s">
        <v>124</v>
      </c>
      <c r="F17" s="2" t="s">
        <v>132</v>
      </c>
      <c r="G17" s="2" t="s">
        <v>133</v>
      </c>
    </row>
    <row r="18" spans="1:7" ht="19.2" customHeight="1">
      <c r="A18" s="2">
        <v>14</v>
      </c>
      <c r="B18" s="2" t="s">
        <v>81</v>
      </c>
      <c r="C18" s="2" t="s">
        <v>134</v>
      </c>
      <c r="D18" s="2" t="s">
        <v>124</v>
      </c>
      <c r="E18" s="2" t="s">
        <v>124</v>
      </c>
      <c r="F18" s="2" t="s">
        <v>135</v>
      </c>
      <c r="G18" s="2" t="s">
        <v>136</v>
      </c>
    </row>
  </sheetData>
  <mergeCells count="2">
    <mergeCell ref="A1:H1"/>
    <mergeCell ref="A2:H2"/>
  </mergeCells>
  <phoneticPr fontId="8" type="noConversion"/>
  <conditionalFormatting sqref="E5:E60">
    <cfRule type="expression" dxfId="3" priority="1">
      <formula>E5="구현"</formula>
    </cfRule>
    <cfRule type="expression" dxfId="2" priority="2">
      <formula>E5="선택"</formula>
    </cfRule>
  </conditionalFormatting>
  <dataValidations count="1">
    <dataValidation type="list" sqref="E5:E60" xr:uid="{00000000-0002-0000-0200-000000000000}">
      <formula1>"구현,선택,예정"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3"/>
  <sheetViews>
    <sheetView topLeftCell="A43" workbookViewId="0">
      <selection activeCell="A2" sqref="A2:H2"/>
    </sheetView>
  </sheetViews>
  <sheetFormatPr defaultRowHeight="13.8"/>
  <cols>
    <col min="1" max="1" width="22" customWidth="1"/>
    <col min="2" max="2" width="24" customWidth="1"/>
    <col min="3" max="3" width="20" customWidth="1"/>
    <col min="4" max="4" width="7" customWidth="1"/>
    <col min="5" max="5" width="28" customWidth="1"/>
    <col min="6" max="6" width="8" customWidth="1"/>
    <col min="7" max="7" width="22" customWidth="1"/>
    <col min="8" max="8" width="42" customWidth="1"/>
  </cols>
  <sheetData>
    <row r="1" spans="1:8" ht="25.65" customHeight="1">
      <c r="A1" s="7" t="s">
        <v>137</v>
      </c>
      <c r="B1" s="8"/>
      <c r="C1" s="8"/>
      <c r="D1" s="8"/>
      <c r="E1" s="8"/>
      <c r="F1" s="8"/>
      <c r="G1" s="8"/>
      <c r="H1" s="8"/>
    </row>
    <row r="2" spans="1:8" ht="22.35" customHeight="1">
      <c r="A2" s="9"/>
      <c r="B2" s="8"/>
      <c r="C2" s="8"/>
      <c r="D2" s="8"/>
      <c r="E2" s="8"/>
      <c r="F2" s="8"/>
      <c r="G2" s="8"/>
      <c r="H2" s="8"/>
    </row>
    <row r="3" spans="1:8" ht="6.45" customHeight="1"/>
    <row r="4" spans="1:8" ht="12" customHeight="1">
      <c r="A4" s="1" t="s">
        <v>85</v>
      </c>
      <c r="B4" s="1" t="s">
        <v>138</v>
      </c>
      <c r="C4" s="1" t="s">
        <v>139</v>
      </c>
      <c r="D4" s="1" t="s">
        <v>140</v>
      </c>
      <c r="E4" s="1" t="s">
        <v>141</v>
      </c>
      <c r="F4" s="1" t="s">
        <v>142</v>
      </c>
      <c r="G4" s="1" t="s">
        <v>143</v>
      </c>
      <c r="H4" s="1" t="s">
        <v>35</v>
      </c>
    </row>
    <row r="5" spans="1:8" ht="12" customHeight="1">
      <c r="A5" s="2" t="s">
        <v>36</v>
      </c>
      <c r="B5" s="2" t="s">
        <v>144</v>
      </c>
      <c r="C5" s="2" t="s">
        <v>145</v>
      </c>
      <c r="D5" s="2" t="s">
        <v>146</v>
      </c>
      <c r="E5" s="2"/>
      <c r="F5" s="2" t="s">
        <v>147</v>
      </c>
      <c r="G5" s="2" t="s">
        <v>148</v>
      </c>
      <c r="H5" s="2" t="s">
        <v>149</v>
      </c>
    </row>
    <row r="6" spans="1:8" ht="12" customHeight="1">
      <c r="A6" s="2" t="s">
        <v>36</v>
      </c>
      <c r="B6" s="2" t="s">
        <v>150</v>
      </c>
      <c r="C6" s="2" t="s">
        <v>151</v>
      </c>
      <c r="D6" s="2"/>
      <c r="E6" s="2"/>
      <c r="F6" s="2" t="s">
        <v>147</v>
      </c>
      <c r="G6" s="2"/>
      <c r="H6" s="2" t="s">
        <v>152</v>
      </c>
    </row>
    <row r="7" spans="1:8" ht="12" customHeight="1">
      <c r="A7" s="2" t="s">
        <v>36</v>
      </c>
      <c r="B7" s="2" t="s">
        <v>153</v>
      </c>
      <c r="C7" s="2" t="s">
        <v>154</v>
      </c>
      <c r="D7" s="2"/>
      <c r="E7" s="2"/>
      <c r="F7" s="2" t="s">
        <v>147</v>
      </c>
      <c r="G7" s="2"/>
      <c r="H7" s="2" t="s">
        <v>155</v>
      </c>
    </row>
    <row r="8" spans="1:8" ht="12" customHeight="1">
      <c r="A8" s="2" t="s">
        <v>36</v>
      </c>
      <c r="B8" s="2" t="s">
        <v>156</v>
      </c>
      <c r="C8" s="2" t="s">
        <v>151</v>
      </c>
      <c r="D8" s="2"/>
      <c r="E8" s="2"/>
      <c r="F8" s="2" t="s">
        <v>147</v>
      </c>
      <c r="G8" s="2"/>
      <c r="H8" s="2" t="s">
        <v>157</v>
      </c>
    </row>
    <row r="9" spans="1:8" ht="12" customHeight="1">
      <c r="A9" s="2" t="s">
        <v>36</v>
      </c>
      <c r="B9" s="2" t="s">
        <v>158</v>
      </c>
      <c r="C9" s="2" t="s">
        <v>159</v>
      </c>
      <c r="D9" s="2"/>
      <c r="E9" s="2"/>
      <c r="F9" s="2" t="s">
        <v>147</v>
      </c>
      <c r="G9" s="2" t="s">
        <v>160</v>
      </c>
      <c r="H9" s="2" t="s">
        <v>161</v>
      </c>
    </row>
    <row r="10" spans="1:8" ht="12" customHeight="1">
      <c r="A10" s="2" t="s">
        <v>36</v>
      </c>
      <c r="B10" s="2" t="s">
        <v>162</v>
      </c>
      <c r="C10" s="2" t="s">
        <v>163</v>
      </c>
      <c r="D10" s="2"/>
      <c r="E10" s="2"/>
      <c r="F10" s="2" t="s">
        <v>146</v>
      </c>
      <c r="G10" s="2"/>
      <c r="H10" s="2" t="s">
        <v>164</v>
      </c>
    </row>
    <row r="11" spans="1:8" ht="12" customHeight="1">
      <c r="A11" s="2" t="s">
        <v>36</v>
      </c>
      <c r="B11" s="2" t="s">
        <v>165</v>
      </c>
      <c r="C11" s="2" t="s">
        <v>166</v>
      </c>
      <c r="D11" s="2"/>
      <c r="E11" s="2"/>
      <c r="F11" s="2" t="s">
        <v>146</v>
      </c>
      <c r="G11" s="2"/>
      <c r="H11" s="2" t="s">
        <v>167</v>
      </c>
    </row>
    <row r="12" spans="1:8" ht="12" customHeight="1">
      <c r="A12" s="2" t="s">
        <v>36</v>
      </c>
      <c r="B12" s="2" t="s">
        <v>168</v>
      </c>
      <c r="C12" s="2" t="s">
        <v>166</v>
      </c>
      <c r="D12" s="2"/>
      <c r="E12" s="2"/>
      <c r="F12" s="2" t="s">
        <v>146</v>
      </c>
      <c r="G12" s="2"/>
      <c r="H12" s="2" t="s">
        <v>169</v>
      </c>
    </row>
    <row r="13" spans="1:8" ht="12" customHeight="1">
      <c r="A13" s="2" t="s">
        <v>36</v>
      </c>
      <c r="B13" s="2" t="s">
        <v>170</v>
      </c>
      <c r="C13" s="2" t="s">
        <v>171</v>
      </c>
      <c r="D13" s="2"/>
      <c r="E13" s="2"/>
      <c r="F13" s="2" t="s">
        <v>147</v>
      </c>
      <c r="G13" s="2" t="s">
        <v>172</v>
      </c>
      <c r="H13" s="2" t="s">
        <v>173</v>
      </c>
    </row>
    <row r="14" spans="1:8" ht="12" customHeight="1">
      <c r="A14" s="2" t="s">
        <v>36</v>
      </c>
      <c r="B14" s="2" t="s">
        <v>174</v>
      </c>
      <c r="C14" s="2" t="s">
        <v>171</v>
      </c>
      <c r="D14" s="2"/>
      <c r="E14" s="2"/>
      <c r="F14" s="2" t="s">
        <v>147</v>
      </c>
      <c r="G14" s="2" t="s">
        <v>172</v>
      </c>
      <c r="H14" s="2" t="s">
        <v>175</v>
      </c>
    </row>
    <row r="15" spans="1:8" ht="12" customHeight="1">
      <c r="A15" s="2" t="s">
        <v>36</v>
      </c>
      <c r="B15" s="2" t="s">
        <v>176</v>
      </c>
      <c r="C15" s="2" t="s">
        <v>171</v>
      </c>
      <c r="D15" s="2"/>
      <c r="E15" s="2"/>
      <c r="F15" s="2" t="s">
        <v>147</v>
      </c>
      <c r="G15" s="2" t="s">
        <v>172</v>
      </c>
      <c r="H15" s="2" t="s">
        <v>177</v>
      </c>
    </row>
    <row r="16" spans="1:8" ht="12" customHeight="1">
      <c r="A16" s="2" t="s">
        <v>36</v>
      </c>
      <c r="B16" s="2" t="s">
        <v>178</v>
      </c>
      <c r="C16" s="2" t="s">
        <v>179</v>
      </c>
      <c r="D16" s="2"/>
      <c r="E16" s="2"/>
      <c r="F16" s="2" t="s">
        <v>147</v>
      </c>
      <c r="G16" s="2" t="s">
        <v>180</v>
      </c>
      <c r="H16" s="2" t="s">
        <v>181</v>
      </c>
    </row>
    <row r="17" spans="1:8" ht="12" customHeight="1">
      <c r="A17" s="2" t="s">
        <v>38</v>
      </c>
      <c r="B17" s="2" t="s">
        <v>182</v>
      </c>
      <c r="C17" s="2" t="s">
        <v>145</v>
      </c>
      <c r="D17" s="2" t="s">
        <v>146</v>
      </c>
      <c r="E17" s="2"/>
      <c r="F17" s="2" t="s">
        <v>147</v>
      </c>
      <c r="G17" s="2" t="s">
        <v>183</v>
      </c>
      <c r="H17" s="2" t="s">
        <v>184</v>
      </c>
    </row>
    <row r="18" spans="1:8" ht="12" customHeight="1">
      <c r="A18" s="2" t="s">
        <v>38</v>
      </c>
      <c r="B18" s="2" t="s">
        <v>144</v>
      </c>
      <c r="C18" s="2" t="s">
        <v>145</v>
      </c>
      <c r="D18" s="2"/>
      <c r="E18" s="2" t="s">
        <v>185</v>
      </c>
      <c r="F18" s="2" t="s">
        <v>147</v>
      </c>
      <c r="G18" s="2"/>
      <c r="H18" s="2" t="s">
        <v>186</v>
      </c>
    </row>
    <row r="19" spans="1:8" ht="12" customHeight="1">
      <c r="A19" s="2" t="s">
        <v>38</v>
      </c>
      <c r="B19" s="2" t="s">
        <v>187</v>
      </c>
      <c r="C19" s="2" t="s">
        <v>154</v>
      </c>
      <c r="D19" s="2"/>
      <c r="E19" s="2"/>
      <c r="F19" s="2" t="s">
        <v>147</v>
      </c>
      <c r="G19" s="2"/>
      <c r="H19" s="2" t="s">
        <v>188</v>
      </c>
    </row>
    <row r="20" spans="1:8" ht="12" customHeight="1">
      <c r="A20" s="2" t="s">
        <v>38</v>
      </c>
      <c r="B20" s="2" t="s">
        <v>189</v>
      </c>
      <c r="C20" s="2" t="s">
        <v>190</v>
      </c>
      <c r="D20" s="2"/>
      <c r="E20" s="2"/>
      <c r="F20" s="2" t="s">
        <v>146</v>
      </c>
      <c r="G20" s="2"/>
      <c r="H20" s="2" t="s">
        <v>191</v>
      </c>
    </row>
    <row r="21" spans="1:8" ht="12" customHeight="1">
      <c r="A21" s="2" t="s">
        <v>38</v>
      </c>
      <c r="B21" s="2" t="s">
        <v>192</v>
      </c>
      <c r="C21" s="2" t="s">
        <v>151</v>
      </c>
      <c r="D21" s="2"/>
      <c r="E21" s="2"/>
      <c r="F21" s="2" t="s">
        <v>146</v>
      </c>
      <c r="G21" s="2"/>
      <c r="H21" s="2" t="s">
        <v>193</v>
      </c>
    </row>
    <row r="22" spans="1:8" ht="12" customHeight="1">
      <c r="A22" s="2" t="s">
        <v>38</v>
      </c>
      <c r="B22" s="2" t="s">
        <v>194</v>
      </c>
      <c r="C22" s="2" t="s">
        <v>195</v>
      </c>
      <c r="D22" s="2"/>
      <c r="E22" s="2"/>
      <c r="F22" s="2" t="s">
        <v>146</v>
      </c>
      <c r="G22" s="2"/>
      <c r="H22" s="2" t="s">
        <v>196</v>
      </c>
    </row>
    <row r="23" spans="1:8" ht="12" customHeight="1">
      <c r="A23" s="2" t="s">
        <v>38</v>
      </c>
      <c r="B23" s="2" t="s">
        <v>197</v>
      </c>
      <c r="C23" s="2" t="s">
        <v>166</v>
      </c>
      <c r="D23" s="2"/>
      <c r="E23" s="2"/>
      <c r="F23" s="2" t="s">
        <v>146</v>
      </c>
      <c r="G23" s="2"/>
      <c r="H23" s="2" t="s">
        <v>198</v>
      </c>
    </row>
    <row r="24" spans="1:8" ht="12" customHeight="1">
      <c r="A24" s="2" t="s">
        <v>38</v>
      </c>
      <c r="B24" s="2" t="s">
        <v>199</v>
      </c>
      <c r="C24" s="2" t="s">
        <v>200</v>
      </c>
      <c r="D24" s="2"/>
      <c r="E24" s="2"/>
      <c r="F24" s="2" t="s">
        <v>146</v>
      </c>
      <c r="G24" s="2"/>
      <c r="H24" s="2" t="s">
        <v>201</v>
      </c>
    </row>
    <row r="25" spans="1:8" ht="12" customHeight="1">
      <c r="A25" s="2" t="s">
        <v>38</v>
      </c>
      <c r="B25" s="2" t="s">
        <v>202</v>
      </c>
      <c r="C25" s="2" t="s">
        <v>166</v>
      </c>
      <c r="D25" s="2"/>
      <c r="E25" s="2"/>
      <c r="F25" s="2" t="s">
        <v>146</v>
      </c>
      <c r="G25" s="2"/>
      <c r="H25" s="2" t="s">
        <v>203</v>
      </c>
    </row>
    <row r="26" spans="1:8" ht="12" customHeight="1">
      <c r="A26" s="2" t="s">
        <v>38</v>
      </c>
      <c r="B26" s="2" t="s">
        <v>204</v>
      </c>
      <c r="C26" s="2" t="s">
        <v>145</v>
      </c>
      <c r="D26" s="2"/>
      <c r="E26" s="2"/>
      <c r="F26" s="2" t="s">
        <v>147</v>
      </c>
      <c r="G26" s="2" t="s">
        <v>205</v>
      </c>
      <c r="H26" s="2" t="s">
        <v>206</v>
      </c>
    </row>
    <row r="27" spans="1:8" ht="12" customHeight="1">
      <c r="A27" s="2" t="s">
        <v>38</v>
      </c>
      <c r="B27" s="2" t="s">
        <v>207</v>
      </c>
      <c r="C27" s="2" t="s">
        <v>145</v>
      </c>
      <c r="D27" s="2"/>
      <c r="E27" s="2"/>
      <c r="F27" s="2" t="s">
        <v>147</v>
      </c>
      <c r="G27" s="2" t="s">
        <v>205</v>
      </c>
      <c r="H27" s="2" t="s">
        <v>208</v>
      </c>
    </row>
    <row r="28" spans="1:8" ht="12" customHeight="1">
      <c r="A28" s="2" t="s">
        <v>38</v>
      </c>
      <c r="B28" s="2" t="s">
        <v>209</v>
      </c>
      <c r="C28" s="2" t="s">
        <v>145</v>
      </c>
      <c r="D28" s="2"/>
      <c r="E28" s="2"/>
      <c r="F28" s="2" t="s">
        <v>147</v>
      </c>
      <c r="G28" s="2" t="s">
        <v>205</v>
      </c>
      <c r="H28" s="2" t="s">
        <v>210</v>
      </c>
    </row>
    <row r="29" spans="1:8" ht="12" customHeight="1">
      <c r="A29" s="2" t="s">
        <v>38</v>
      </c>
      <c r="B29" s="2" t="s">
        <v>211</v>
      </c>
      <c r="C29" s="2" t="s">
        <v>145</v>
      </c>
      <c r="D29" s="2"/>
      <c r="E29" s="2"/>
      <c r="F29" s="2" t="s">
        <v>147</v>
      </c>
      <c r="G29" s="2" t="s">
        <v>205</v>
      </c>
      <c r="H29" s="2" t="s">
        <v>212</v>
      </c>
    </row>
    <row r="30" spans="1:8" ht="12" customHeight="1">
      <c r="A30" s="2" t="s">
        <v>38</v>
      </c>
      <c r="B30" s="2" t="s">
        <v>176</v>
      </c>
      <c r="C30" s="2" t="s">
        <v>171</v>
      </c>
      <c r="D30" s="2"/>
      <c r="E30" s="2"/>
      <c r="F30" s="2" t="s">
        <v>147</v>
      </c>
      <c r="G30" s="2" t="s">
        <v>172</v>
      </c>
      <c r="H30" s="2" t="s">
        <v>213</v>
      </c>
    </row>
    <row r="31" spans="1:8" ht="12" customHeight="1">
      <c r="A31" s="2" t="s">
        <v>38</v>
      </c>
      <c r="B31" s="2" t="s">
        <v>178</v>
      </c>
      <c r="C31" s="2" t="s">
        <v>179</v>
      </c>
      <c r="D31" s="2"/>
      <c r="E31" s="2"/>
      <c r="F31" s="2" t="s">
        <v>147</v>
      </c>
      <c r="G31" s="2" t="s">
        <v>180</v>
      </c>
      <c r="H31" s="2" t="s">
        <v>214</v>
      </c>
    </row>
    <row r="32" spans="1:8" ht="19.2" customHeight="1">
      <c r="A32" s="2" t="s">
        <v>61</v>
      </c>
      <c r="B32" s="2" t="s">
        <v>215</v>
      </c>
      <c r="C32" s="2" t="s">
        <v>145</v>
      </c>
      <c r="D32" s="2" t="s">
        <v>146</v>
      </c>
      <c r="E32" s="2"/>
      <c r="F32" s="2" t="s">
        <v>147</v>
      </c>
      <c r="G32" s="2" t="s">
        <v>216</v>
      </c>
      <c r="H32" s="2" t="s">
        <v>217</v>
      </c>
    </row>
    <row r="33" spans="1:8" ht="12" customHeight="1">
      <c r="A33" s="2" t="s">
        <v>61</v>
      </c>
      <c r="B33" s="2" t="s">
        <v>182</v>
      </c>
      <c r="C33" s="2" t="s">
        <v>145</v>
      </c>
      <c r="D33" s="2"/>
      <c r="E33" s="2" t="s">
        <v>218</v>
      </c>
      <c r="F33" s="2" t="s">
        <v>147</v>
      </c>
      <c r="G33" s="2"/>
      <c r="H33" s="2" t="s">
        <v>184</v>
      </c>
    </row>
    <row r="34" spans="1:8" ht="12" customHeight="1">
      <c r="A34" s="2" t="s">
        <v>61</v>
      </c>
      <c r="B34" s="2" t="s">
        <v>219</v>
      </c>
      <c r="C34" s="2" t="s">
        <v>166</v>
      </c>
      <c r="D34" s="2"/>
      <c r="E34" s="2"/>
      <c r="F34" s="2" t="s">
        <v>147</v>
      </c>
      <c r="G34" s="2"/>
      <c r="H34" s="2" t="s">
        <v>220</v>
      </c>
    </row>
    <row r="35" spans="1:8" ht="12" customHeight="1">
      <c r="A35" s="2" t="s">
        <v>61</v>
      </c>
      <c r="B35" s="2" t="s">
        <v>221</v>
      </c>
      <c r="C35" s="2" t="s">
        <v>145</v>
      </c>
      <c r="D35" s="2"/>
      <c r="E35" s="2"/>
      <c r="F35" s="2" t="s">
        <v>147</v>
      </c>
      <c r="G35" s="2" t="s">
        <v>222</v>
      </c>
      <c r="H35" s="2" t="s">
        <v>223</v>
      </c>
    </row>
    <row r="36" spans="1:8" ht="12" customHeight="1">
      <c r="A36" s="2" t="s">
        <v>61</v>
      </c>
      <c r="B36" s="2" t="s">
        <v>178</v>
      </c>
      <c r="C36" s="2" t="s">
        <v>179</v>
      </c>
      <c r="D36" s="2"/>
      <c r="E36" s="2"/>
      <c r="F36" s="2" t="s">
        <v>147</v>
      </c>
      <c r="G36" s="2" t="s">
        <v>180</v>
      </c>
      <c r="H36" s="2" t="s">
        <v>224</v>
      </c>
    </row>
    <row r="37" spans="1:8" ht="19.2" customHeight="1">
      <c r="A37" s="2" t="s">
        <v>64</v>
      </c>
      <c r="B37" s="2" t="s">
        <v>225</v>
      </c>
      <c r="C37" s="2" t="s">
        <v>145</v>
      </c>
      <c r="D37" s="2" t="s">
        <v>146</v>
      </c>
      <c r="E37" s="2"/>
      <c r="F37" s="2" t="s">
        <v>147</v>
      </c>
      <c r="G37" s="2" t="s">
        <v>226</v>
      </c>
      <c r="H37" s="2" t="s">
        <v>227</v>
      </c>
    </row>
    <row r="38" spans="1:8" ht="19.2" customHeight="1">
      <c r="A38" s="2" t="s">
        <v>64</v>
      </c>
      <c r="B38" s="2" t="s">
        <v>182</v>
      </c>
      <c r="C38" s="2" t="s">
        <v>145</v>
      </c>
      <c r="D38" s="2"/>
      <c r="E38" s="2" t="s">
        <v>218</v>
      </c>
      <c r="F38" s="2" t="s">
        <v>147</v>
      </c>
      <c r="G38" s="2"/>
      <c r="H38" s="2" t="s">
        <v>184</v>
      </c>
    </row>
    <row r="39" spans="1:8" ht="19.2" customHeight="1">
      <c r="A39" s="2" t="s">
        <v>64</v>
      </c>
      <c r="B39" s="2" t="s">
        <v>228</v>
      </c>
      <c r="C39" s="2" t="s">
        <v>145</v>
      </c>
      <c r="D39" s="2"/>
      <c r="E39" s="2"/>
      <c r="F39" s="2" t="s">
        <v>147</v>
      </c>
      <c r="G39" s="2" t="s">
        <v>222</v>
      </c>
      <c r="H39" s="2" t="s">
        <v>229</v>
      </c>
    </row>
    <row r="40" spans="1:8" ht="19.2" customHeight="1">
      <c r="A40" s="2" t="s">
        <v>64</v>
      </c>
      <c r="B40" s="2" t="s">
        <v>230</v>
      </c>
      <c r="C40" s="2" t="s">
        <v>163</v>
      </c>
      <c r="D40" s="2"/>
      <c r="E40" s="2"/>
      <c r="F40" s="2" t="s">
        <v>147</v>
      </c>
      <c r="G40" s="2"/>
      <c r="H40" s="2" t="s">
        <v>231</v>
      </c>
    </row>
    <row r="41" spans="1:8" ht="19.2" customHeight="1">
      <c r="A41" s="2" t="s">
        <v>64</v>
      </c>
      <c r="B41" s="2" t="s">
        <v>232</v>
      </c>
      <c r="C41" s="2" t="s">
        <v>233</v>
      </c>
      <c r="D41" s="2"/>
      <c r="E41" s="2"/>
      <c r="F41" s="2" t="s">
        <v>146</v>
      </c>
      <c r="G41" s="2"/>
      <c r="H41" s="2" t="s">
        <v>234</v>
      </c>
    </row>
    <row r="42" spans="1:8" ht="19.2" customHeight="1">
      <c r="A42" s="2" t="s">
        <v>64</v>
      </c>
      <c r="B42" s="2" t="s">
        <v>235</v>
      </c>
      <c r="C42" s="2" t="s">
        <v>200</v>
      </c>
      <c r="D42" s="2"/>
      <c r="E42" s="2"/>
      <c r="F42" s="2" t="s">
        <v>146</v>
      </c>
      <c r="G42" s="2"/>
      <c r="H42" s="2" t="s">
        <v>236</v>
      </c>
    </row>
    <row r="43" spans="1:8" ht="19.2" customHeight="1">
      <c r="A43" s="2" t="s">
        <v>64</v>
      </c>
      <c r="B43" s="2" t="s">
        <v>237</v>
      </c>
      <c r="C43" s="2" t="s">
        <v>238</v>
      </c>
      <c r="D43" s="2"/>
      <c r="E43" s="2"/>
      <c r="F43" s="2" t="s">
        <v>146</v>
      </c>
      <c r="G43" s="2"/>
      <c r="H43" s="2" t="s">
        <v>239</v>
      </c>
    </row>
    <row r="44" spans="1:8" ht="19.2" customHeight="1">
      <c r="A44" s="2" t="s">
        <v>64</v>
      </c>
      <c r="B44" s="2" t="s">
        <v>240</v>
      </c>
      <c r="C44" s="2" t="s">
        <v>238</v>
      </c>
      <c r="D44" s="2"/>
      <c r="E44" s="2"/>
      <c r="F44" s="2" t="s">
        <v>146</v>
      </c>
      <c r="G44" s="2"/>
      <c r="H44" s="2" t="s">
        <v>241</v>
      </c>
    </row>
    <row r="45" spans="1:8" ht="19.2" customHeight="1">
      <c r="A45" s="2" t="s">
        <v>41</v>
      </c>
      <c r="B45" s="2" t="s">
        <v>242</v>
      </c>
      <c r="C45" s="2" t="s">
        <v>145</v>
      </c>
      <c r="D45" s="2" t="s">
        <v>146</v>
      </c>
      <c r="E45" s="2"/>
      <c r="F45" s="2" t="s">
        <v>147</v>
      </c>
      <c r="G45" s="2" t="s">
        <v>243</v>
      </c>
      <c r="H45" s="2" t="s">
        <v>244</v>
      </c>
    </row>
    <row r="46" spans="1:8" ht="12" customHeight="1">
      <c r="A46" s="2" t="s">
        <v>41</v>
      </c>
      <c r="B46" s="2" t="s">
        <v>182</v>
      </c>
      <c r="C46" s="2" t="s">
        <v>145</v>
      </c>
      <c r="D46" s="2"/>
      <c r="E46" s="2" t="s">
        <v>218</v>
      </c>
      <c r="F46" s="2" t="s">
        <v>147</v>
      </c>
      <c r="G46" s="2"/>
      <c r="H46" s="2" t="s">
        <v>184</v>
      </c>
    </row>
    <row r="47" spans="1:8" ht="12" customHeight="1">
      <c r="A47" s="2" t="s">
        <v>41</v>
      </c>
      <c r="B47" s="2" t="s">
        <v>144</v>
      </c>
      <c r="C47" s="2" t="s">
        <v>145</v>
      </c>
      <c r="D47" s="2"/>
      <c r="E47" s="2" t="s">
        <v>185</v>
      </c>
      <c r="F47" s="2" t="s">
        <v>147</v>
      </c>
      <c r="G47" s="2"/>
      <c r="H47" s="2" t="s">
        <v>186</v>
      </c>
    </row>
    <row r="48" spans="1:8" ht="12" customHeight="1">
      <c r="A48" s="2" t="s">
        <v>41</v>
      </c>
      <c r="B48" s="2" t="s">
        <v>189</v>
      </c>
      <c r="C48" s="2" t="s">
        <v>200</v>
      </c>
      <c r="D48" s="2"/>
      <c r="E48" s="2"/>
      <c r="F48" s="2" t="s">
        <v>147</v>
      </c>
      <c r="G48" s="2"/>
      <c r="H48" s="2" t="s">
        <v>245</v>
      </c>
    </row>
    <row r="49" spans="1:8" ht="12" customHeight="1">
      <c r="A49" s="2" t="s">
        <v>41</v>
      </c>
      <c r="B49" s="2" t="s">
        <v>176</v>
      </c>
      <c r="C49" s="2" t="s">
        <v>171</v>
      </c>
      <c r="D49" s="2"/>
      <c r="E49" s="2"/>
      <c r="F49" s="2" t="s">
        <v>147</v>
      </c>
      <c r="G49" s="2" t="s">
        <v>172</v>
      </c>
      <c r="H49" s="2" t="s">
        <v>246</v>
      </c>
    </row>
    <row r="50" spans="1:8" ht="12" customHeight="1">
      <c r="A50" s="2" t="s">
        <v>41</v>
      </c>
      <c r="B50" s="2" t="s">
        <v>178</v>
      </c>
      <c r="C50" s="2" t="s">
        <v>179</v>
      </c>
      <c r="D50" s="2"/>
      <c r="E50" s="2"/>
      <c r="F50" s="2" t="s">
        <v>147</v>
      </c>
      <c r="G50" s="2" t="s">
        <v>180</v>
      </c>
      <c r="H50" s="2" t="s">
        <v>214</v>
      </c>
    </row>
    <row r="51" spans="1:8" ht="12" customHeight="1">
      <c r="A51" s="2" t="s">
        <v>44</v>
      </c>
      <c r="B51" s="2" t="s">
        <v>247</v>
      </c>
      <c r="C51" s="2" t="s">
        <v>145</v>
      </c>
      <c r="D51" s="2" t="s">
        <v>146</v>
      </c>
      <c r="E51" s="2"/>
      <c r="F51" s="2" t="s">
        <v>147</v>
      </c>
      <c r="G51" s="2" t="s">
        <v>248</v>
      </c>
      <c r="H51" s="2" t="s">
        <v>249</v>
      </c>
    </row>
    <row r="52" spans="1:8" ht="12" customHeight="1">
      <c r="A52" s="2" t="s">
        <v>44</v>
      </c>
      <c r="B52" s="2" t="s">
        <v>182</v>
      </c>
      <c r="C52" s="2" t="s">
        <v>145</v>
      </c>
      <c r="D52" s="2"/>
      <c r="E52" s="2" t="s">
        <v>218</v>
      </c>
      <c r="F52" s="2" t="s">
        <v>147</v>
      </c>
      <c r="G52" s="2"/>
      <c r="H52" s="2" t="s">
        <v>184</v>
      </c>
    </row>
    <row r="53" spans="1:8" ht="12" customHeight="1">
      <c r="A53" s="2" t="s">
        <v>44</v>
      </c>
      <c r="B53" s="2" t="s">
        <v>144</v>
      </c>
      <c r="C53" s="2" t="s">
        <v>145</v>
      </c>
      <c r="D53" s="2"/>
      <c r="E53" s="2" t="s">
        <v>185</v>
      </c>
      <c r="F53" s="2" t="s">
        <v>147</v>
      </c>
      <c r="G53" s="2"/>
      <c r="H53" s="2" t="s">
        <v>250</v>
      </c>
    </row>
    <row r="54" spans="1:8" ht="12" customHeight="1">
      <c r="A54" s="2" t="s">
        <v>44</v>
      </c>
      <c r="B54" s="2" t="s">
        <v>178</v>
      </c>
      <c r="C54" s="2" t="s">
        <v>179</v>
      </c>
      <c r="D54" s="2"/>
      <c r="E54" s="2"/>
      <c r="F54" s="2" t="s">
        <v>147</v>
      </c>
      <c r="G54" s="2" t="s">
        <v>180</v>
      </c>
      <c r="H54" s="2" t="s">
        <v>224</v>
      </c>
    </row>
    <row r="55" spans="1:8" ht="19.2" customHeight="1">
      <c r="A55" s="2" t="s">
        <v>47</v>
      </c>
      <c r="B55" s="2" t="s">
        <v>251</v>
      </c>
      <c r="C55" s="2" t="s">
        <v>145</v>
      </c>
      <c r="D55" s="2" t="s">
        <v>146</v>
      </c>
      <c r="E55" s="2"/>
      <c r="F55" s="2" t="s">
        <v>147</v>
      </c>
      <c r="G55" s="2" t="s">
        <v>252</v>
      </c>
      <c r="H55" s="2" t="s">
        <v>253</v>
      </c>
    </row>
    <row r="56" spans="1:8" ht="12" customHeight="1">
      <c r="A56" s="2" t="s">
        <v>47</v>
      </c>
      <c r="B56" s="2" t="s">
        <v>182</v>
      </c>
      <c r="C56" s="2" t="s">
        <v>145</v>
      </c>
      <c r="D56" s="2"/>
      <c r="E56" s="2" t="s">
        <v>218</v>
      </c>
      <c r="F56" s="2" t="s">
        <v>147</v>
      </c>
      <c r="G56" s="2"/>
      <c r="H56" s="2" t="s">
        <v>184</v>
      </c>
    </row>
    <row r="57" spans="1:8" ht="12" customHeight="1">
      <c r="A57" s="2" t="s">
        <v>47</v>
      </c>
      <c r="B57" s="2" t="s">
        <v>144</v>
      </c>
      <c r="C57" s="2" t="s">
        <v>145</v>
      </c>
      <c r="D57" s="2"/>
      <c r="E57" s="2" t="s">
        <v>185</v>
      </c>
      <c r="F57" s="2" t="s">
        <v>147</v>
      </c>
      <c r="G57" s="2"/>
      <c r="H57" s="2" t="s">
        <v>254</v>
      </c>
    </row>
    <row r="58" spans="1:8" ht="12" customHeight="1">
      <c r="A58" s="2" t="s">
        <v>47</v>
      </c>
      <c r="B58" s="2" t="s">
        <v>178</v>
      </c>
      <c r="C58" s="2" t="s">
        <v>179</v>
      </c>
      <c r="D58" s="2"/>
      <c r="E58" s="2"/>
      <c r="F58" s="2" t="s">
        <v>147</v>
      </c>
      <c r="G58" s="2" t="s">
        <v>180</v>
      </c>
      <c r="H58" s="2" t="s">
        <v>224</v>
      </c>
    </row>
    <row r="59" spans="1:8" ht="19.2" customHeight="1">
      <c r="A59" s="2" t="s">
        <v>56</v>
      </c>
      <c r="B59" s="2" t="s">
        <v>255</v>
      </c>
      <c r="C59" s="2" t="s">
        <v>145</v>
      </c>
      <c r="D59" s="2" t="s">
        <v>146</v>
      </c>
      <c r="E59" s="2"/>
      <c r="F59" s="2" t="s">
        <v>147</v>
      </c>
      <c r="G59" s="2" t="s">
        <v>256</v>
      </c>
      <c r="H59" s="2" t="s">
        <v>257</v>
      </c>
    </row>
    <row r="60" spans="1:8" ht="12" customHeight="1">
      <c r="A60" s="2" t="s">
        <v>56</v>
      </c>
      <c r="B60" s="2" t="s">
        <v>258</v>
      </c>
      <c r="C60" s="2" t="s">
        <v>145</v>
      </c>
      <c r="D60" s="2"/>
      <c r="E60" s="2" t="s">
        <v>185</v>
      </c>
      <c r="F60" s="2" t="s">
        <v>147</v>
      </c>
      <c r="G60" s="2"/>
      <c r="H60" s="2" t="s">
        <v>259</v>
      </c>
    </row>
    <row r="61" spans="1:8" ht="12" customHeight="1">
      <c r="A61" s="2" t="s">
        <v>56</v>
      </c>
      <c r="B61" s="2" t="s">
        <v>260</v>
      </c>
      <c r="C61" s="2" t="s">
        <v>145</v>
      </c>
      <c r="D61" s="2"/>
      <c r="E61" s="2" t="s">
        <v>185</v>
      </c>
      <c r="F61" s="2" t="s">
        <v>147</v>
      </c>
      <c r="G61" s="2"/>
      <c r="H61" s="2" t="s">
        <v>261</v>
      </c>
    </row>
    <row r="62" spans="1:8" ht="12" customHeight="1">
      <c r="A62" s="2" t="s">
        <v>56</v>
      </c>
      <c r="B62" s="2" t="s">
        <v>262</v>
      </c>
      <c r="C62" s="2" t="s">
        <v>159</v>
      </c>
      <c r="D62" s="2"/>
      <c r="E62" s="2"/>
      <c r="F62" s="2" t="s">
        <v>147</v>
      </c>
      <c r="G62" s="2" t="s">
        <v>263</v>
      </c>
      <c r="H62" s="2" t="s">
        <v>264</v>
      </c>
    </row>
    <row r="63" spans="1:8" ht="12" customHeight="1">
      <c r="A63" s="2" t="s">
        <v>56</v>
      </c>
      <c r="B63" s="2" t="s">
        <v>178</v>
      </c>
      <c r="C63" s="2" t="s">
        <v>179</v>
      </c>
      <c r="D63" s="2"/>
      <c r="E63" s="2"/>
      <c r="F63" s="2" t="s">
        <v>147</v>
      </c>
      <c r="G63" s="2" t="s">
        <v>180</v>
      </c>
      <c r="H63" s="2" t="s">
        <v>265</v>
      </c>
    </row>
    <row r="64" spans="1:8" ht="12" customHeight="1">
      <c r="A64" s="2" t="s">
        <v>50</v>
      </c>
      <c r="B64" s="2" t="s">
        <v>266</v>
      </c>
      <c r="C64" s="2" t="s">
        <v>145</v>
      </c>
      <c r="D64" s="2" t="s">
        <v>146</v>
      </c>
      <c r="E64" s="2"/>
      <c r="F64" s="2" t="s">
        <v>147</v>
      </c>
      <c r="G64" s="2" t="s">
        <v>267</v>
      </c>
      <c r="H64" s="2" t="s">
        <v>268</v>
      </c>
    </row>
    <row r="65" spans="1:8" ht="12" customHeight="1">
      <c r="A65" s="2" t="s">
        <v>50</v>
      </c>
      <c r="B65" s="2" t="s">
        <v>144</v>
      </c>
      <c r="C65" s="2" t="s">
        <v>145</v>
      </c>
      <c r="D65" s="2"/>
      <c r="E65" s="2" t="s">
        <v>185</v>
      </c>
      <c r="F65" s="2" t="s">
        <v>147</v>
      </c>
      <c r="G65" s="2"/>
      <c r="H65" s="2" t="s">
        <v>186</v>
      </c>
    </row>
    <row r="66" spans="1:8" ht="12" customHeight="1">
      <c r="A66" s="2" t="s">
        <v>50</v>
      </c>
      <c r="B66" s="2" t="s">
        <v>269</v>
      </c>
      <c r="C66" s="2" t="s">
        <v>166</v>
      </c>
      <c r="D66" s="2"/>
      <c r="E66" s="2"/>
      <c r="F66" s="2" t="s">
        <v>147</v>
      </c>
      <c r="G66" s="2"/>
      <c r="H66" s="2" t="s">
        <v>270</v>
      </c>
    </row>
    <row r="67" spans="1:8" ht="12" customHeight="1">
      <c r="A67" s="2" t="s">
        <v>50</v>
      </c>
      <c r="B67" s="2" t="s">
        <v>271</v>
      </c>
      <c r="C67" s="2" t="s">
        <v>166</v>
      </c>
      <c r="D67" s="2"/>
      <c r="E67" s="2"/>
      <c r="F67" s="2" t="s">
        <v>146</v>
      </c>
      <c r="G67" s="2"/>
      <c r="H67" s="2" t="s">
        <v>272</v>
      </c>
    </row>
    <row r="68" spans="1:8" ht="12" customHeight="1">
      <c r="A68" s="2" t="s">
        <v>50</v>
      </c>
      <c r="B68" s="2" t="s">
        <v>273</v>
      </c>
      <c r="C68" s="2" t="s">
        <v>179</v>
      </c>
      <c r="D68" s="2"/>
      <c r="E68" s="2"/>
      <c r="F68" s="2" t="s">
        <v>147</v>
      </c>
      <c r="G68" s="2" t="s">
        <v>274</v>
      </c>
      <c r="H68" s="2" t="s">
        <v>275</v>
      </c>
    </row>
    <row r="69" spans="1:8" ht="12" customHeight="1">
      <c r="A69" s="2" t="s">
        <v>50</v>
      </c>
      <c r="B69" s="2" t="s">
        <v>176</v>
      </c>
      <c r="C69" s="2" t="s">
        <v>171</v>
      </c>
      <c r="D69" s="2"/>
      <c r="E69" s="2"/>
      <c r="F69" s="2" t="s">
        <v>147</v>
      </c>
      <c r="G69" s="2" t="s">
        <v>172</v>
      </c>
      <c r="H69" s="2" t="s">
        <v>213</v>
      </c>
    </row>
    <row r="70" spans="1:8" ht="12" customHeight="1">
      <c r="A70" s="2" t="s">
        <v>50</v>
      </c>
      <c r="B70" s="2" t="s">
        <v>178</v>
      </c>
      <c r="C70" s="2" t="s">
        <v>179</v>
      </c>
      <c r="D70" s="2"/>
      <c r="E70" s="2"/>
      <c r="F70" s="2" t="s">
        <v>147</v>
      </c>
      <c r="G70" s="2" t="s">
        <v>180</v>
      </c>
      <c r="H70" s="2" t="s">
        <v>224</v>
      </c>
    </row>
    <row r="71" spans="1:8" ht="19.2" customHeight="1">
      <c r="A71" s="2" t="s">
        <v>53</v>
      </c>
      <c r="B71" s="2" t="s">
        <v>276</v>
      </c>
      <c r="C71" s="2" t="s">
        <v>145</v>
      </c>
      <c r="D71" s="2" t="s">
        <v>146</v>
      </c>
      <c r="E71" s="2"/>
      <c r="F71" s="2" t="s">
        <v>147</v>
      </c>
      <c r="G71" s="2" t="s">
        <v>277</v>
      </c>
      <c r="H71" s="2" t="s">
        <v>278</v>
      </c>
    </row>
    <row r="72" spans="1:8" ht="12" customHeight="1">
      <c r="A72" s="2" t="s">
        <v>53</v>
      </c>
      <c r="B72" s="2" t="s">
        <v>266</v>
      </c>
      <c r="C72" s="2" t="s">
        <v>145</v>
      </c>
      <c r="D72" s="2"/>
      <c r="E72" s="2" t="s">
        <v>279</v>
      </c>
      <c r="F72" s="2" t="s">
        <v>147</v>
      </c>
      <c r="G72" s="2"/>
      <c r="H72" s="2" t="s">
        <v>268</v>
      </c>
    </row>
    <row r="73" spans="1:8" ht="12" customHeight="1">
      <c r="A73" s="2" t="s">
        <v>53</v>
      </c>
      <c r="B73" s="2" t="s">
        <v>280</v>
      </c>
      <c r="C73" s="2" t="s">
        <v>145</v>
      </c>
      <c r="D73" s="2"/>
      <c r="E73" s="2" t="s">
        <v>185</v>
      </c>
      <c r="F73" s="2" t="s">
        <v>147</v>
      </c>
      <c r="G73" s="2"/>
      <c r="H73" s="2" t="s">
        <v>281</v>
      </c>
    </row>
    <row r="74" spans="1:8" ht="12" customHeight="1">
      <c r="A74" s="2" t="s">
        <v>53</v>
      </c>
      <c r="B74" s="2" t="s">
        <v>282</v>
      </c>
      <c r="C74" s="2" t="s">
        <v>179</v>
      </c>
      <c r="D74" s="2"/>
      <c r="E74" s="2"/>
      <c r="F74" s="2" t="s">
        <v>147</v>
      </c>
      <c r="G74" s="2" t="s">
        <v>180</v>
      </c>
      <c r="H74" s="2" t="s">
        <v>283</v>
      </c>
    </row>
    <row r="75" spans="1:8" ht="19.2" customHeight="1">
      <c r="A75" s="2" t="s">
        <v>75</v>
      </c>
      <c r="B75" s="2" t="s">
        <v>284</v>
      </c>
      <c r="C75" s="2" t="s">
        <v>145</v>
      </c>
      <c r="D75" s="2" t="s">
        <v>146</v>
      </c>
      <c r="E75" s="2"/>
      <c r="F75" s="2" t="s">
        <v>147</v>
      </c>
      <c r="G75" s="2" t="s">
        <v>285</v>
      </c>
      <c r="H75" s="2" t="s">
        <v>286</v>
      </c>
    </row>
    <row r="76" spans="1:8" ht="12" customHeight="1">
      <c r="A76" s="2" t="s">
        <v>75</v>
      </c>
      <c r="B76" s="2" t="s">
        <v>266</v>
      </c>
      <c r="C76" s="2" t="s">
        <v>145</v>
      </c>
      <c r="D76" s="2"/>
      <c r="E76" s="2" t="s">
        <v>279</v>
      </c>
      <c r="F76" s="2" t="s">
        <v>147</v>
      </c>
      <c r="G76" s="2"/>
      <c r="H76" s="2" t="s">
        <v>268</v>
      </c>
    </row>
    <row r="77" spans="1:8" ht="12" customHeight="1">
      <c r="A77" s="2" t="s">
        <v>75</v>
      </c>
      <c r="B77" s="2" t="s">
        <v>287</v>
      </c>
      <c r="C77" s="2" t="s">
        <v>233</v>
      </c>
      <c r="D77" s="2"/>
      <c r="E77" s="2"/>
      <c r="F77" s="2" t="s">
        <v>147</v>
      </c>
      <c r="G77" s="2"/>
      <c r="H77" s="2" t="s">
        <v>288</v>
      </c>
    </row>
    <row r="78" spans="1:8" ht="12" customHeight="1">
      <c r="A78" s="2" t="s">
        <v>75</v>
      </c>
      <c r="B78" s="2" t="s">
        <v>289</v>
      </c>
      <c r="C78" s="2" t="s">
        <v>290</v>
      </c>
      <c r="D78" s="2"/>
      <c r="E78" s="2"/>
      <c r="F78" s="2" t="s">
        <v>147</v>
      </c>
      <c r="G78" s="2" t="s">
        <v>291</v>
      </c>
      <c r="H78" s="2" t="s">
        <v>292</v>
      </c>
    </row>
    <row r="79" spans="1:8" ht="12" customHeight="1">
      <c r="A79" s="2" t="s">
        <v>75</v>
      </c>
      <c r="B79" s="2" t="s">
        <v>293</v>
      </c>
      <c r="C79" s="2" t="s">
        <v>290</v>
      </c>
      <c r="D79" s="2"/>
      <c r="E79" s="2"/>
      <c r="F79" s="2" t="s">
        <v>147</v>
      </c>
      <c r="G79" s="2" t="s">
        <v>291</v>
      </c>
      <c r="H79" s="2" t="s">
        <v>294</v>
      </c>
    </row>
    <row r="80" spans="1:8" ht="12" customHeight="1">
      <c r="A80" s="2" t="s">
        <v>75</v>
      </c>
      <c r="B80" s="2" t="s">
        <v>295</v>
      </c>
      <c r="C80" s="2" t="s">
        <v>145</v>
      </c>
      <c r="D80" s="2"/>
      <c r="E80" s="2"/>
      <c r="F80" s="2" t="s">
        <v>147</v>
      </c>
      <c r="G80" s="2" t="s">
        <v>296</v>
      </c>
      <c r="H80" s="2" t="s">
        <v>297</v>
      </c>
    </row>
    <row r="81" spans="1:8" ht="12" customHeight="1">
      <c r="A81" s="2" t="s">
        <v>75</v>
      </c>
      <c r="B81" s="2" t="s">
        <v>298</v>
      </c>
      <c r="C81" s="2" t="s">
        <v>159</v>
      </c>
      <c r="D81" s="2"/>
      <c r="E81" s="2"/>
      <c r="F81" s="2" t="s">
        <v>147</v>
      </c>
      <c r="G81" s="2" t="s">
        <v>299</v>
      </c>
      <c r="H81" s="2" t="s">
        <v>300</v>
      </c>
    </row>
    <row r="82" spans="1:8" ht="12" customHeight="1">
      <c r="A82" s="2" t="s">
        <v>75</v>
      </c>
      <c r="B82" s="2" t="s">
        <v>301</v>
      </c>
      <c r="C82" s="2" t="s">
        <v>171</v>
      </c>
      <c r="D82" s="2"/>
      <c r="E82" s="2"/>
      <c r="F82" s="2" t="s">
        <v>147</v>
      </c>
      <c r="G82" s="2" t="s">
        <v>172</v>
      </c>
      <c r="H82" s="2" t="s">
        <v>302</v>
      </c>
    </row>
    <row r="83" spans="1:8" ht="19.2" customHeight="1">
      <c r="A83" s="2" t="s">
        <v>127</v>
      </c>
      <c r="B83" s="2" t="s">
        <v>303</v>
      </c>
      <c r="C83" s="2" t="s">
        <v>145</v>
      </c>
      <c r="D83" s="2" t="s">
        <v>146</v>
      </c>
      <c r="E83" s="2"/>
      <c r="F83" s="2" t="s">
        <v>147</v>
      </c>
      <c r="G83" s="2" t="s">
        <v>304</v>
      </c>
      <c r="H83" s="2" t="s">
        <v>305</v>
      </c>
    </row>
    <row r="84" spans="1:8" ht="12" customHeight="1">
      <c r="A84" s="2" t="s">
        <v>127</v>
      </c>
      <c r="B84" s="2" t="s">
        <v>187</v>
      </c>
      <c r="C84" s="2" t="s">
        <v>154</v>
      </c>
      <c r="D84" s="2"/>
      <c r="E84" s="2"/>
      <c r="F84" s="2" t="s">
        <v>147</v>
      </c>
      <c r="G84" s="2"/>
      <c r="H84" s="2" t="s">
        <v>306</v>
      </c>
    </row>
    <row r="85" spans="1:8" ht="12" customHeight="1">
      <c r="A85" s="2" t="s">
        <v>127</v>
      </c>
      <c r="B85" s="2" t="s">
        <v>189</v>
      </c>
      <c r="C85" s="2" t="s">
        <v>200</v>
      </c>
      <c r="D85" s="2"/>
      <c r="E85" s="2"/>
      <c r="F85" s="2" t="s">
        <v>146</v>
      </c>
      <c r="G85" s="2"/>
      <c r="H85" s="2" t="s">
        <v>307</v>
      </c>
    </row>
    <row r="86" spans="1:8" ht="12" customHeight="1">
      <c r="A86" s="2" t="s">
        <v>127</v>
      </c>
      <c r="B86" s="2" t="s">
        <v>308</v>
      </c>
      <c r="C86" s="2" t="s">
        <v>166</v>
      </c>
      <c r="D86" s="2"/>
      <c r="E86" s="2"/>
      <c r="F86" s="2" t="s">
        <v>146</v>
      </c>
      <c r="G86" s="2"/>
      <c r="H86" s="2" t="s">
        <v>309</v>
      </c>
    </row>
    <row r="87" spans="1:8" ht="12" customHeight="1">
      <c r="A87" s="2" t="s">
        <v>127</v>
      </c>
      <c r="B87" s="2" t="s">
        <v>310</v>
      </c>
      <c r="C87" s="2" t="s">
        <v>166</v>
      </c>
      <c r="D87" s="2"/>
      <c r="E87" s="2"/>
      <c r="F87" s="2" t="s">
        <v>146</v>
      </c>
      <c r="G87" s="2"/>
      <c r="H87" s="2" t="s">
        <v>311</v>
      </c>
    </row>
    <row r="88" spans="1:8" ht="12" customHeight="1">
      <c r="A88" s="2" t="s">
        <v>127</v>
      </c>
      <c r="B88" s="2" t="s">
        <v>176</v>
      </c>
      <c r="C88" s="2" t="s">
        <v>171</v>
      </c>
      <c r="D88" s="2"/>
      <c r="E88" s="2"/>
      <c r="F88" s="2" t="s">
        <v>147</v>
      </c>
      <c r="G88" s="2" t="s">
        <v>172</v>
      </c>
      <c r="H88" s="2" t="s">
        <v>312</v>
      </c>
    </row>
    <row r="89" spans="1:8" ht="12" customHeight="1">
      <c r="A89" s="2" t="s">
        <v>127</v>
      </c>
      <c r="B89" s="2" t="s">
        <v>178</v>
      </c>
      <c r="C89" s="2" t="s">
        <v>179</v>
      </c>
      <c r="D89" s="2"/>
      <c r="E89" s="2"/>
      <c r="F89" s="2" t="s">
        <v>147</v>
      </c>
      <c r="G89" s="2" t="s">
        <v>180</v>
      </c>
      <c r="H89" s="2" t="s">
        <v>224</v>
      </c>
    </row>
    <row r="90" spans="1:8" ht="19.2" customHeight="1">
      <c r="A90" s="2" t="s">
        <v>78</v>
      </c>
      <c r="B90" s="2" t="s">
        <v>313</v>
      </c>
      <c r="C90" s="2" t="s">
        <v>145</v>
      </c>
      <c r="D90" s="2" t="s">
        <v>146</v>
      </c>
      <c r="E90" s="2"/>
      <c r="F90" s="2" t="s">
        <v>147</v>
      </c>
      <c r="G90" s="2" t="s">
        <v>314</v>
      </c>
      <c r="H90" s="2" t="s">
        <v>315</v>
      </c>
    </row>
    <row r="91" spans="1:8" ht="12" customHeight="1">
      <c r="A91" s="2" t="s">
        <v>78</v>
      </c>
      <c r="B91" s="2" t="s">
        <v>316</v>
      </c>
      <c r="C91" s="2" t="s">
        <v>145</v>
      </c>
      <c r="D91" s="2"/>
      <c r="E91" s="2" t="s">
        <v>185</v>
      </c>
      <c r="F91" s="2" t="s">
        <v>147</v>
      </c>
      <c r="G91" s="2"/>
      <c r="H91" s="2" t="s">
        <v>317</v>
      </c>
    </row>
    <row r="92" spans="1:8" ht="12" customHeight="1">
      <c r="A92" s="2" t="s">
        <v>78</v>
      </c>
      <c r="B92" s="2" t="s">
        <v>318</v>
      </c>
      <c r="C92" s="2" t="s">
        <v>145</v>
      </c>
      <c r="D92" s="2"/>
      <c r="E92" s="2" t="s">
        <v>185</v>
      </c>
      <c r="F92" s="2" t="s">
        <v>147</v>
      </c>
      <c r="G92" s="2"/>
      <c r="H92" s="2" t="s">
        <v>319</v>
      </c>
    </row>
    <row r="93" spans="1:8" ht="12" customHeight="1">
      <c r="A93" s="2" t="s">
        <v>78</v>
      </c>
      <c r="B93" s="2" t="s">
        <v>189</v>
      </c>
      <c r="C93" s="2" t="s">
        <v>320</v>
      </c>
      <c r="D93" s="2"/>
      <c r="E93" s="2"/>
      <c r="F93" s="2" t="s">
        <v>147</v>
      </c>
      <c r="G93" s="2"/>
      <c r="H93" s="2" t="s">
        <v>321</v>
      </c>
    </row>
    <row r="94" spans="1:8" ht="12" customHeight="1">
      <c r="A94" s="2" t="s">
        <v>78</v>
      </c>
      <c r="B94" s="2" t="s">
        <v>322</v>
      </c>
      <c r="C94" s="2" t="s">
        <v>171</v>
      </c>
      <c r="D94" s="2"/>
      <c r="E94" s="2"/>
      <c r="F94" s="2" t="s">
        <v>147</v>
      </c>
      <c r="G94" s="2" t="s">
        <v>323</v>
      </c>
      <c r="H94" s="2" t="s">
        <v>324</v>
      </c>
    </row>
    <row r="95" spans="1:8" ht="12" customHeight="1">
      <c r="A95" s="2" t="s">
        <v>78</v>
      </c>
      <c r="B95" s="2" t="s">
        <v>176</v>
      </c>
      <c r="C95" s="2" t="s">
        <v>171</v>
      </c>
      <c r="D95" s="2"/>
      <c r="E95" s="2"/>
      <c r="F95" s="2" t="s">
        <v>147</v>
      </c>
      <c r="G95" s="2" t="s">
        <v>172</v>
      </c>
      <c r="H95" s="2" t="s">
        <v>246</v>
      </c>
    </row>
    <row r="96" spans="1:8" ht="12" customHeight="1">
      <c r="A96" s="2" t="s">
        <v>78</v>
      </c>
      <c r="B96" s="2" t="s">
        <v>178</v>
      </c>
      <c r="C96" s="2" t="s">
        <v>179</v>
      </c>
      <c r="D96" s="2"/>
      <c r="E96" s="2"/>
      <c r="F96" s="2" t="s">
        <v>147</v>
      </c>
      <c r="G96" s="2" t="s">
        <v>180</v>
      </c>
      <c r="H96" s="2" t="s">
        <v>325</v>
      </c>
    </row>
    <row r="97" spans="1:8" ht="12" customHeight="1">
      <c r="A97" s="2" t="s">
        <v>81</v>
      </c>
      <c r="B97" s="2" t="s">
        <v>326</v>
      </c>
      <c r="C97" s="2" t="s">
        <v>145</v>
      </c>
      <c r="D97" s="2" t="s">
        <v>146</v>
      </c>
      <c r="E97" s="2"/>
      <c r="F97" s="2" t="s">
        <v>147</v>
      </c>
      <c r="G97" s="2" t="s">
        <v>327</v>
      </c>
      <c r="H97" s="2" t="s">
        <v>328</v>
      </c>
    </row>
    <row r="98" spans="1:8" ht="12" customHeight="1">
      <c r="A98" s="2" t="s">
        <v>81</v>
      </c>
      <c r="B98" s="2" t="s">
        <v>329</v>
      </c>
      <c r="C98" s="2" t="s">
        <v>145</v>
      </c>
      <c r="D98" s="2"/>
      <c r="E98" s="2" t="s">
        <v>185</v>
      </c>
      <c r="F98" s="2" t="s">
        <v>147</v>
      </c>
      <c r="G98" s="2"/>
      <c r="H98" s="2" t="s">
        <v>330</v>
      </c>
    </row>
    <row r="99" spans="1:8" ht="12" customHeight="1">
      <c r="A99" s="2" t="s">
        <v>81</v>
      </c>
      <c r="B99" s="2" t="s">
        <v>331</v>
      </c>
      <c r="C99" s="2" t="s">
        <v>145</v>
      </c>
      <c r="D99" s="2"/>
      <c r="E99" s="2" t="s">
        <v>185</v>
      </c>
      <c r="F99" s="2" t="s">
        <v>146</v>
      </c>
      <c r="G99" s="2"/>
      <c r="H99" s="2" t="s">
        <v>332</v>
      </c>
    </row>
    <row r="100" spans="1:8" ht="12" customHeight="1">
      <c r="A100" s="2" t="s">
        <v>81</v>
      </c>
      <c r="B100" s="2" t="s">
        <v>333</v>
      </c>
      <c r="C100" s="2" t="s">
        <v>195</v>
      </c>
      <c r="D100" s="2"/>
      <c r="E100" s="2"/>
      <c r="F100" s="2" t="s">
        <v>147</v>
      </c>
      <c r="G100" s="2"/>
      <c r="H100" s="2" t="s">
        <v>334</v>
      </c>
    </row>
    <row r="101" spans="1:8" ht="12" customHeight="1">
      <c r="A101" s="2" t="s">
        <v>81</v>
      </c>
      <c r="B101" s="2" t="s">
        <v>335</v>
      </c>
      <c r="C101" s="2" t="s">
        <v>145</v>
      </c>
      <c r="D101" s="2"/>
      <c r="E101" s="2"/>
      <c r="F101" s="2" t="s">
        <v>146</v>
      </c>
      <c r="G101" s="2"/>
      <c r="H101" s="2" t="s">
        <v>336</v>
      </c>
    </row>
    <row r="102" spans="1:8" ht="12" customHeight="1">
      <c r="A102" s="2" t="s">
        <v>81</v>
      </c>
      <c r="B102" s="2" t="s">
        <v>322</v>
      </c>
      <c r="C102" s="2" t="s">
        <v>171</v>
      </c>
      <c r="D102" s="2"/>
      <c r="E102" s="2"/>
      <c r="F102" s="2" t="s">
        <v>147</v>
      </c>
      <c r="G102" s="2" t="s">
        <v>323</v>
      </c>
      <c r="H102" s="2" t="s">
        <v>324</v>
      </c>
    </row>
    <row r="103" spans="1:8" ht="12" customHeight="1">
      <c r="A103" s="2" t="s">
        <v>81</v>
      </c>
      <c r="B103" s="2" t="s">
        <v>178</v>
      </c>
      <c r="C103" s="2" t="s">
        <v>179</v>
      </c>
      <c r="D103" s="2"/>
      <c r="E103" s="2"/>
      <c r="F103" s="2" t="s">
        <v>147</v>
      </c>
      <c r="G103" s="2" t="s">
        <v>180</v>
      </c>
      <c r="H103" s="2" t="s">
        <v>337</v>
      </c>
    </row>
  </sheetData>
  <mergeCells count="2">
    <mergeCell ref="A1:H1"/>
    <mergeCell ref="A2:H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activeCell="A2" sqref="A2:H2"/>
    </sheetView>
  </sheetViews>
  <sheetFormatPr defaultRowHeight="13.8"/>
  <cols>
    <col min="1" max="1" width="18" customWidth="1"/>
    <col min="2" max="2" width="20" customWidth="1"/>
    <col min="3" max="3" width="40" customWidth="1"/>
    <col min="4" max="5" width="50" customWidth="1"/>
    <col min="6" max="6" width="28" customWidth="1"/>
    <col min="7" max="7" width="20" customWidth="1"/>
    <col min="8" max="8" width="42" customWidth="1"/>
  </cols>
  <sheetData>
    <row r="1" spans="1:8" ht="25.65" customHeight="1">
      <c r="A1" s="7" t="s">
        <v>338</v>
      </c>
      <c r="B1" s="8"/>
      <c r="C1" s="8"/>
      <c r="D1" s="8"/>
      <c r="E1" s="8"/>
      <c r="F1" s="8"/>
      <c r="G1" s="8"/>
      <c r="H1" s="8"/>
    </row>
    <row r="2" spans="1:8" ht="22.35" customHeight="1">
      <c r="A2" s="9"/>
      <c r="B2" s="8"/>
      <c r="C2" s="8"/>
      <c r="D2" s="8"/>
      <c r="E2" s="8"/>
      <c r="F2" s="8"/>
      <c r="G2" s="8"/>
      <c r="H2" s="8"/>
    </row>
    <row r="3" spans="1:8" ht="6.45" customHeight="1"/>
    <row r="4" spans="1:8" ht="12" customHeight="1">
      <c r="A4" s="1" t="s">
        <v>339</v>
      </c>
      <c r="B4" s="1" t="s">
        <v>340</v>
      </c>
      <c r="C4" s="1" t="s">
        <v>341</v>
      </c>
      <c r="D4" s="1" t="s">
        <v>342</v>
      </c>
      <c r="E4" s="1" t="s">
        <v>343</v>
      </c>
      <c r="F4" s="1" t="s">
        <v>344</v>
      </c>
    </row>
    <row r="5" spans="1:8" ht="12" customHeight="1">
      <c r="A5" s="2" t="s">
        <v>345</v>
      </c>
      <c r="B5" s="2" t="s">
        <v>346</v>
      </c>
      <c r="C5" s="2" t="s">
        <v>347</v>
      </c>
      <c r="D5" s="2" t="s">
        <v>36</v>
      </c>
      <c r="E5" s="2" t="s">
        <v>348</v>
      </c>
      <c r="F5" s="2" t="s">
        <v>349</v>
      </c>
    </row>
    <row r="6" spans="1:8" ht="19.2" customHeight="1">
      <c r="A6" s="2" t="s">
        <v>350</v>
      </c>
      <c r="B6" s="2" t="s">
        <v>351</v>
      </c>
      <c r="C6" s="2" t="s">
        <v>352</v>
      </c>
      <c r="D6" s="2" t="s">
        <v>36</v>
      </c>
      <c r="E6" s="2" t="s">
        <v>353</v>
      </c>
      <c r="F6" s="2" t="s">
        <v>349</v>
      </c>
    </row>
    <row r="7" spans="1:8" ht="48" customHeight="1">
      <c r="A7" s="2" t="s">
        <v>354</v>
      </c>
      <c r="B7" s="2" t="s">
        <v>355</v>
      </c>
      <c r="C7" s="2" t="s">
        <v>356</v>
      </c>
      <c r="D7" s="2" t="s">
        <v>357</v>
      </c>
      <c r="E7" s="2" t="s">
        <v>358</v>
      </c>
      <c r="F7" s="2" t="s">
        <v>13</v>
      </c>
    </row>
    <row r="8" spans="1:8" ht="19.2" customHeight="1">
      <c r="A8" s="2" t="s">
        <v>359</v>
      </c>
      <c r="B8" s="2" t="s">
        <v>360</v>
      </c>
      <c r="C8" s="2" t="s">
        <v>361</v>
      </c>
      <c r="D8" s="2" t="s">
        <v>362</v>
      </c>
      <c r="E8" s="2" t="s">
        <v>363</v>
      </c>
      <c r="F8" s="2" t="s">
        <v>349</v>
      </c>
    </row>
    <row r="9" spans="1:8" ht="19.2" customHeight="1">
      <c r="A9" s="2" t="s">
        <v>364</v>
      </c>
      <c r="B9" s="2" t="s">
        <v>365</v>
      </c>
      <c r="C9" s="2" t="s">
        <v>366</v>
      </c>
      <c r="D9" s="2" t="s">
        <v>367</v>
      </c>
      <c r="E9" s="2" t="s">
        <v>368</v>
      </c>
      <c r="F9" s="2" t="s">
        <v>369</v>
      </c>
    </row>
    <row r="10" spans="1:8" ht="48" customHeight="1">
      <c r="A10" s="2" t="s">
        <v>106</v>
      </c>
      <c r="B10" s="2" t="s">
        <v>370</v>
      </c>
      <c r="C10" s="2" t="s">
        <v>371</v>
      </c>
      <c r="D10" s="2" t="s">
        <v>372</v>
      </c>
      <c r="E10" s="2" t="s">
        <v>373</v>
      </c>
      <c r="F10" s="2" t="s">
        <v>374</v>
      </c>
    </row>
    <row r="11" spans="1:8" ht="38.4" customHeight="1">
      <c r="A11" s="2" t="s">
        <v>375</v>
      </c>
      <c r="B11" s="2" t="s">
        <v>376</v>
      </c>
      <c r="C11" s="2" t="s">
        <v>377</v>
      </c>
      <c r="D11" s="2" t="s">
        <v>378</v>
      </c>
      <c r="E11" s="2" t="s">
        <v>379</v>
      </c>
      <c r="F11" s="2" t="s">
        <v>349</v>
      </c>
    </row>
    <row r="12" spans="1:8" ht="19.2" customHeight="1">
      <c r="A12" s="2" t="s">
        <v>380</v>
      </c>
      <c r="B12" s="2" t="s">
        <v>381</v>
      </c>
      <c r="C12" s="2" t="s">
        <v>382</v>
      </c>
      <c r="D12" s="2" t="s">
        <v>36</v>
      </c>
      <c r="E12" s="2" t="s">
        <v>383</v>
      </c>
      <c r="F12" s="2" t="s">
        <v>384</v>
      </c>
    </row>
    <row r="13" spans="1:8" ht="28.8" customHeight="1">
      <c r="A13" s="2" t="s">
        <v>125</v>
      </c>
      <c r="B13" s="2" t="s">
        <v>385</v>
      </c>
      <c r="C13" s="2" t="s">
        <v>386</v>
      </c>
      <c r="D13" s="2" t="s">
        <v>387</v>
      </c>
      <c r="E13" s="2" t="s">
        <v>388</v>
      </c>
      <c r="F13" s="2" t="s">
        <v>389</v>
      </c>
    </row>
    <row r="14" spans="1:8" ht="12" customHeight="1">
      <c r="A14" s="2" t="s">
        <v>135</v>
      </c>
      <c r="B14" s="2" t="s">
        <v>390</v>
      </c>
      <c r="C14" s="2" t="s">
        <v>391</v>
      </c>
      <c r="D14" s="2" t="s">
        <v>81</v>
      </c>
      <c r="E14" s="2" t="s">
        <v>392</v>
      </c>
      <c r="F14" s="2" t="s">
        <v>393</v>
      </c>
    </row>
    <row r="15" spans="1:8" ht="19.2" customHeight="1">
      <c r="A15" s="2" t="s">
        <v>132</v>
      </c>
      <c r="B15" s="2" t="s">
        <v>394</v>
      </c>
      <c r="C15" s="2" t="s">
        <v>395</v>
      </c>
      <c r="D15" s="2" t="s">
        <v>396</v>
      </c>
      <c r="E15" s="2" t="s">
        <v>397</v>
      </c>
      <c r="F15" s="2" t="s">
        <v>393</v>
      </c>
    </row>
    <row r="16" spans="1:8" ht="12" customHeight="1">
      <c r="A16" s="2" t="s">
        <v>398</v>
      </c>
      <c r="B16" s="2" t="s">
        <v>399</v>
      </c>
      <c r="C16" s="2" t="s">
        <v>400</v>
      </c>
      <c r="D16" s="2" t="s">
        <v>127</v>
      </c>
      <c r="E16" s="2" t="s">
        <v>401</v>
      </c>
      <c r="F16" s="2" t="s">
        <v>124</v>
      </c>
    </row>
  </sheetData>
  <mergeCells count="2">
    <mergeCell ref="A1:H1"/>
    <mergeCell ref="A2:H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workbookViewId="0">
      <selection activeCell="A2" sqref="A2:H2"/>
    </sheetView>
  </sheetViews>
  <sheetFormatPr defaultRowHeight="13.8"/>
  <cols>
    <col min="1" max="1" width="12" customWidth="1"/>
    <col min="2" max="2" width="10" customWidth="1"/>
    <col min="3" max="3" width="34" customWidth="1"/>
    <col min="4" max="4" width="42" customWidth="1"/>
    <col min="5" max="5" width="32" customWidth="1"/>
    <col min="6" max="6" width="44" customWidth="1"/>
    <col min="7" max="7" width="32" customWidth="1"/>
    <col min="8" max="8" width="42" customWidth="1"/>
  </cols>
  <sheetData>
    <row r="1" spans="1:8" ht="25.65" customHeight="1">
      <c r="A1" s="7" t="s">
        <v>402</v>
      </c>
      <c r="B1" s="8"/>
      <c r="C1" s="8"/>
      <c r="D1" s="8"/>
      <c r="E1" s="8"/>
      <c r="F1" s="8"/>
      <c r="G1" s="8"/>
      <c r="H1" s="8"/>
    </row>
    <row r="2" spans="1:8" ht="22.35" customHeight="1">
      <c r="A2" s="9"/>
      <c r="B2" s="8"/>
      <c r="C2" s="8"/>
      <c r="D2" s="8"/>
      <c r="E2" s="8"/>
      <c r="F2" s="8"/>
      <c r="G2" s="8"/>
      <c r="H2" s="8"/>
    </row>
    <row r="3" spans="1:8" ht="6.45" customHeight="1"/>
    <row r="4" spans="1:8" ht="12" customHeight="1">
      <c r="A4" s="1" t="s">
        <v>0</v>
      </c>
      <c r="B4" s="1" t="s">
        <v>403</v>
      </c>
      <c r="C4" s="1" t="s">
        <v>404</v>
      </c>
      <c r="D4" s="1" t="s">
        <v>405</v>
      </c>
      <c r="E4" s="1" t="s">
        <v>406</v>
      </c>
      <c r="F4" s="1" t="s">
        <v>342</v>
      </c>
      <c r="G4" s="1" t="s">
        <v>90</v>
      </c>
    </row>
    <row r="5" spans="1:8" ht="12" customHeight="1">
      <c r="A5" s="2" t="s">
        <v>407</v>
      </c>
      <c r="B5" s="2" t="s">
        <v>408</v>
      </c>
      <c r="C5" s="2" t="s">
        <v>409</v>
      </c>
      <c r="D5" s="2" t="s">
        <v>410</v>
      </c>
      <c r="E5" s="2" t="s">
        <v>411</v>
      </c>
      <c r="F5" s="2" t="s">
        <v>36</v>
      </c>
      <c r="G5" s="2" t="s">
        <v>412</v>
      </c>
    </row>
    <row r="6" spans="1:8" ht="19.2" customHeight="1">
      <c r="A6" s="2" t="s">
        <v>407</v>
      </c>
      <c r="B6" s="2" t="s">
        <v>408</v>
      </c>
      <c r="C6" s="2" t="s">
        <v>413</v>
      </c>
      <c r="D6" s="2" t="s">
        <v>414</v>
      </c>
      <c r="E6" s="2" t="s">
        <v>415</v>
      </c>
      <c r="F6" s="2" t="s">
        <v>36</v>
      </c>
      <c r="G6" s="2" t="s">
        <v>416</v>
      </c>
    </row>
    <row r="7" spans="1:8" ht="12" customHeight="1">
      <c r="A7" s="2" t="s">
        <v>407</v>
      </c>
      <c r="B7" s="2" t="s">
        <v>417</v>
      </c>
      <c r="C7" s="2" t="s">
        <v>418</v>
      </c>
      <c r="D7" s="2" t="s">
        <v>419</v>
      </c>
      <c r="E7" s="2" t="s">
        <v>420</v>
      </c>
      <c r="F7" s="2" t="s">
        <v>421</v>
      </c>
      <c r="G7" s="2" t="s">
        <v>422</v>
      </c>
    </row>
    <row r="8" spans="1:8" ht="12" customHeight="1">
      <c r="A8" s="2" t="s">
        <v>423</v>
      </c>
      <c r="B8" s="2" t="s">
        <v>417</v>
      </c>
      <c r="C8" s="2" t="s">
        <v>424</v>
      </c>
      <c r="D8" s="2" t="s">
        <v>425</v>
      </c>
      <c r="E8" s="2" t="s">
        <v>426</v>
      </c>
      <c r="F8" s="2" t="s">
        <v>362</v>
      </c>
      <c r="G8" s="2" t="s">
        <v>427</v>
      </c>
    </row>
    <row r="9" spans="1:8" ht="19.2" customHeight="1">
      <c r="A9" s="2" t="s">
        <v>423</v>
      </c>
      <c r="B9" s="2" t="s">
        <v>417</v>
      </c>
      <c r="C9" s="2" t="s">
        <v>428</v>
      </c>
      <c r="D9" s="2" t="s">
        <v>429</v>
      </c>
      <c r="E9" s="2" t="s">
        <v>426</v>
      </c>
      <c r="F9" s="2" t="s">
        <v>430</v>
      </c>
      <c r="G9" s="2" t="s">
        <v>431</v>
      </c>
    </row>
    <row r="10" spans="1:8" ht="12" customHeight="1">
      <c r="A10" s="2" t="s">
        <v>423</v>
      </c>
      <c r="B10" s="2" t="s">
        <v>417</v>
      </c>
      <c r="C10" s="2" t="s">
        <v>432</v>
      </c>
      <c r="D10" s="2" t="s">
        <v>433</v>
      </c>
      <c r="E10" s="2" t="s">
        <v>434</v>
      </c>
      <c r="F10" s="2" t="s">
        <v>435</v>
      </c>
      <c r="G10" s="2" t="s">
        <v>436</v>
      </c>
    </row>
    <row r="11" spans="1:8" ht="12" customHeight="1">
      <c r="A11" s="2" t="s">
        <v>423</v>
      </c>
      <c r="B11" s="2" t="s">
        <v>417</v>
      </c>
      <c r="C11" s="2" t="s">
        <v>437</v>
      </c>
      <c r="D11" s="2" t="s">
        <v>433</v>
      </c>
      <c r="E11" s="2" t="s">
        <v>438</v>
      </c>
      <c r="F11" s="2" t="s">
        <v>61</v>
      </c>
      <c r="G11" s="2" t="s">
        <v>439</v>
      </c>
    </row>
    <row r="12" spans="1:8" ht="12" customHeight="1">
      <c r="A12" s="2" t="s">
        <v>423</v>
      </c>
      <c r="B12" s="2" t="s">
        <v>417</v>
      </c>
      <c r="C12" s="2" t="s">
        <v>440</v>
      </c>
      <c r="D12" s="2" t="s">
        <v>433</v>
      </c>
      <c r="E12" s="2" t="s">
        <v>441</v>
      </c>
      <c r="F12" s="2" t="s">
        <v>64</v>
      </c>
      <c r="G12" s="2" t="s">
        <v>442</v>
      </c>
    </row>
    <row r="13" spans="1:8" ht="28.8" customHeight="1">
      <c r="A13" s="2" t="s">
        <v>423</v>
      </c>
      <c r="B13" s="2" t="s">
        <v>408</v>
      </c>
      <c r="C13" s="2" t="s">
        <v>365</v>
      </c>
      <c r="D13" s="2" t="s">
        <v>443</v>
      </c>
      <c r="E13" s="2" t="s">
        <v>444</v>
      </c>
      <c r="F13" s="2" t="s">
        <v>367</v>
      </c>
      <c r="G13" s="2" t="s">
        <v>445</v>
      </c>
    </row>
    <row r="14" spans="1:8" ht="12" customHeight="1">
      <c r="A14" s="2" t="s">
        <v>105</v>
      </c>
      <c r="B14" s="2" t="s">
        <v>417</v>
      </c>
      <c r="C14" s="2" t="s">
        <v>446</v>
      </c>
      <c r="D14" s="2" t="s">
        <v>433</v>
      </c>
      <c r="E14" s="2" t="s">
        <v>447</v>
      </c>
      <c r="F14" s="2" t="s">
        <v>448</v>
      </c>
      <c r="G14" s="2" t="s">
        <v>449</v>
      </c>
    </row>
    <row r="15" spans="1:8" ht="12" customHeight="1">
      <c r="A15" s="2" t="s">
        <v>105</v>
      </c>
      <c r="B15" s="2" t="s">
        <v>408</v>
      </c>
      <c r="C15" s="2" t="s">
        <v>450</v>
      </c>
      <c r="D15" s="2" t="s">
        <v>451</v>
      </c>
      <c r="E15" s="2" t="s">
        <v>452</v>
      </c>
      <c r="F15" s="2" t="s">
        <v>453</v>
      </c>
      <c r="G15" s="2" t="s">
        <v>454</v>
      </c>
    </row>
    <row r="16" spans="1:8" ht="12" customHeight="1">
      <c r="A16" s="2" t="s">
        <v>105</v>
      </c>
      <c r="B16" s="2" t="s">
        <v>408</v>
      </c>
      <c r="C16" s="2" t="s">
        <v>455</v>
      </c>
      <c r="D16" s="2" t="s">
        <v>456</v>
      </c>
      <c r="E16" s="2" t="s">
        <v>452</v>
      </c>
      <c r="F16" s="2" t="s">
        <v>453</v>
      </c>
      <c r="G16" s="2" t="s">
        <v>457</v>
      </c>
    </row>
    <row r="17" spans="1:7" ht="12" customHeight="1">
      <c r="A17" s="2" t="s">
        <v>108</v>
      </c>
      <c r="B17" s="2" t="s">
        <v>408</v>
      </c>
      <c r="C17" s="2" t="s">
        <v>458</v>
      </c>
      <c r="D17" s="2" t="s">
        <v>433</v>
      </c>
      <c r="E17" s="2" t="s">
        <v>459</v>
      </c>
      <c r="F17" s="2" t="s">
        <v>460</v>
      </c>
      <c r="G17" s="2" t="s">
        <v>461</v>
      </c>
    </row>
    <row r="18" spans="1:7" ht="19.2" customHeight="1">
      <c r="A18" s="2" t="s">
        <v>462</v>
      </c>
      <c r="B18" s="2" t="s">
        <v>408</v>
      </c>
      <c r="C18" s="2" t="s">
        <v>463</v>
      </c>
      <c r="D18" s="2" t="s">
        <v>433</v>
      </c>
      <c r="E18" s="2" t="s">
        <v>464</v>
      </c>
      <c r="F18" s="2" t="s">
        <v>465</v>
      </c>
      <c r="G18" s="2" t="s">
        <v>461</v>
      </c>
    </row>
    <row r="19" spans="1:7" ht="12" customHeight="1">
      <c r="A19" s="2" t="s">
        <v>466</v>
      </c>
      <c r="B19" s="2" t="s">
        <v>408</v>
      </c>
      <c r="C19" s="2" t="s">
        <v>467</v>
      </c>
      <c r="D19" s="2" t="s">
        <v>468</v>
      </c>
      <c r="E19" s="2" t="s">
        <v>469</v>
      </c>
      <c r="F19" s="2" t="s">
        <v>56</v>
      </c>
      <c r="G19" s="2" t="s">
        <v>470</v>
      </c>
    </row>
    <row r="20" spans="1:7" ht="12" customHeight="1">
      <c r="A20" s="2" t="s">
        <v>466</v>
      </c>
      <c r="B20" s="2" t="s">
        <v>417</v>
      </c>
      <c r="C20" s="2" t="s">
        <v>471</v>
      </c>
      <c r="D20" s="2" t="s">
        <v>419</v>
      </c>
      <c r="E20" s="2" t="s">
        <v>472</v>
      </c>
      <c r="F20" s="2" t="s">
        <v>473</v>
      </c>
      <c r="G20" s="2" t="s">
        <v>474</v>
      </c>
    </row>
    <row r="21" spans="1:7" ht="12" customHeight="1">
      <c r="A21" s="2" t="s">
        <v>466</v>
      </c>
      <c r="B21" s="2" t="s">
        <v>417</v>
      </c>
      <c r="C21" s="2" t="s">
        <v>475</v>
      </c>
      <c r="D21" s="2" t="s">
        <v>419</v>
      </c>
      <c r="E21" s="2" t="s">
        <v>476</v>
      </c>
      <c r="F21" s="2" t="s">
        <v>473</v>
      </c>
      <c r="G21" s="2" t="s">
        <v>477</v>
      </c>
    </row>
    <row r="22" spans="1:7" ht="12" customHeight="1">
      <c r="A22" s="2" t="s">
        <v>478</v>
      </c>
      <c r="B22" s="2" t="s">
        <v>417</v>
      </c>
      <c r="C22" s="2" t="s">
        <v>479</v>
      </c>
      <c r="D22" s="2" t="s">
        <v>425</v>
      </c>
      <c r="E22" s="2" t="s">
        <v>480</v>
      </c>
      <c r="F22" s="2" t="s">
        <v>481</v>
      </c>
      <c r="G22" s="2" t="s">
        <v>482</v>
      </c>
    </row>
    <row r="23" spans="1:7" ht="12" customHeight="1">
      <c r="A23" s="2" t="s">
        <v>478</v>
      </c>
      <c r="B23" s="2" t="s">
        <v>417</v>
      </c>
      <c r="C23" s="2" t="s">
        <v>483</v>
      </c>
      <c r="D23" s="2" t="s">
        <v>419</v>
      </c>
      <c r="E23" s="2" t="s">
        <v>484</v>
      </c>
      <c r="F23" s="2" t="s">
        <v>485</v>
      </c>
      <c r="G23" s="2" t="s">
        <v>486</v>
      </c>
    </row>
    <row r="24" spans="1:7" ht="12" customHeight="1">
      <c r="A24" s="2" t="s">
        <v>478</v>
      </c>
      <c r="B24" s="2" t="s">
        <v>408</v>
      </c>
      <c r="C24" s="2" t="s">
        <v>487</v>
      </c>
      <c r="D24" s="2" t="s">
        <v>488</v>
      </c>
      <c r="E24" s="2" t="s">
        <v>452</v>
      </c>
      <c r="F24" s="2" t="s">
        <v>53</v>
      </c>
      <c r="G24" s="2" t="s">
        <v>489</v>
      </c>
    </row>
    <row r="25" spans="1:7" ht="12" customHeight="1">
      <c r="A25" s="2" t="s">
        <v>478</v>
      </c>
      <c r="B25" s="2" t="s">
        <v>417</v>
      </c>
      <c r="C25" s="2" t="s">
        <v>490</v>
      </c>
      <c r="D25" s="2" t="s">
        <v>425</v>
      </c>
      <c r="E25" s="2" t="s">
        <v>491</v>
      </c>
      <c r="F25" s="2" t="s">
        <v>492</v>
      </c>
      <c r="G25" s="2" t="s">
        <v>493</v>
      </c>
    </row>
    <row r="26" spans="1:7" ht="12" customHeight="1">
      <c r="A26" s="2" t="s">
        <v>478</v>
      </c>
      <c r="B26" s="2" t="s">
        <v>417</v>
      </c>
      <c r="C26" s="2" t="s">
        <v>494</v>
      </c>
      <c r="D26" s="2" t="s">
        <v>488</v>
      </c>
      <c r="E26" s="2" t="s">
        <v>495</v>
      </c>
      <c r="F26" s="2" t="s">
        <v>496</v>
      </c>
      <c r="G26" s="2" t="s">
        <v>497</v>
      </c>
    </row>
    <row r="27" spans="1:7" ht="19.2" customHeight="1">
      <c r="A27" s="2" t="s">
        <v>478</v>
      </c>
      <c r="B27" s="2" t="s">
        <v>408</v>
      </c>
      <c r="C27" s="2" t="s">
        <v>498</v>
      </c>
      <c r="D27" s="2" t="s">
        <v>499</v>
      </c>
      <c r="E27" s="2" t="s">
        <v>452</v>
      </c>
      <c r="F27" s="2" t="s">
        <v>485</v>
      </c>
      <c r="G27" s="2" t="s">
        <v>500</v>
      </c>
    </row>
    <row r="28" spans="1:7" ht="12" customHeight="1">
      <c r="A28" s="2" t="s">
        <v>478</v>
      </c>
      <c r="B28" s="2" t="s">
        <v>408</v>
      </c>
      <c r="C28" s="2" t="s">
        <v>501</v>
      </c>
      <c r="D28" s="2" t="s">
        <v>488</v>
      </c>
      <c r="E28" s="2" t="s">
        <v>452</v>
      </c>
      <c r="F28" s="2" t="s">
        <v>50</v>
      </c>
      <c r="G28" s="2" t="s">
        <v>502</v>
      </c>
    </row>
    <row r="29" spans="1:7" ht="12" customHeight="1">
      <c r="A29" s="2" t="s">
        <v>503</v>
      </c>
      <c r="B29" s="2" t="s">
        <v>417</v>
      </c>
      <c r="C29" s="2" t="s">
        <v>504</v>
      </c>
      <c r="D29" s="2" t="s">
        <v>505</v>
      </c>
      <c r="E29" s="2" t="s">
        <v>506</v>
      </c>
      <c r="F29" s="2" t="s">
        <v>127</v>
      </c>
      <c r="G29" s="2" t="s">
        <v>507</v>
      </c>
    </row>
    <row r="30" spans="1:7" ht="12" customHeight="1">
      <c r="A30" s="2" t="s">
        <v>503</v>
      </c>
      <c r="B30" s="2" t="s">
        <v>417</v>
      </c>
      <c r="C30" s="2" t="s">
        <v>508</v>
      </c>
      <c r="D30" s="2" t="s">
        <v>509</v>
      </c>
      <c r="E30" s="2" t="s">
        <v>510</v>
      </c>
      <c r="F30" s="2" t="s">
        <v>127</v>
      </c>
      <c r="G30" s="2" t="s">
        <v>400</v>
      </c>
    </row>
  </sheetData>
  <mergeCells count="2">
    <mergeCell ref="A1:H1"/>
    <mergeCell ref="A2:H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selection activeCell="A2" sqref="A2:H2"/>
    </sheetView>
  </sheetViews>
  <sheetFormatPr defaultRowHeight="13.8"/>
  <cols>
    <col min="1" max="1" width="18" customWidth="1"/>
    <col min="2" max="2" width="28" customWidth="1"/>
    <col min="3" max="3" width="52" customWidth="1"/>
    <col min="4" max="4" width="46" customWidth="1"/>
    <col min="5" max="5" width="18" customWidth="1"/>
    <col min="6" max="6" width="30" customWidth="1"/>
    <col min="7" max="7" width="20" customWidth="1"/>
    <col min="8" max="8" width="42" customWidth="1"/>
  </cols>
  <sheetData>
    <row r="1" spans="1:8" ht="25.65" customHeight="1">
      <c r="A1" s="7" t="s">
        <v>511</v>
      </c>
      <c r="B1" s="8"/>
      <c r="C1" s="8"/>
      <c r="D1" s="8"/>
      <c r="E1" s="8"/>
      <c r="F1" s="8"/>
      <c r="G1" s="8"/>
      <c r="H1" s="8"/>
    </row>
    <row r="2" spans="1:8" ht="22.35" customHeight="1">
      <c r="A2" s="9"/>
      <c r="B2" s="8"/>
      <c r="C2" s="8"/>
      <c r="D2" s="8"/>
      <c r="E2" s="8"/>
      <c r="F2" s="8"/>
      <c r="G2" s="8"/>
      <c r="H2" s="8"/>
    </row>
    <row r="3" spans="1:8" ht="6.45" customHeight="1"/>
    <row r="4" spans="1:8" ht="19.2" customHeight="1">
      <c r="A4" s="1" t="s">
        <v>0</v>
      </c>
      <c r="B4" s="1" t="s">
        <v>512</v>
      </c>
      <c r="C4" s="1" t="s">
        <v>513</v>
      </c>
      <c r="D4" s="1" t="s">
        <v>514</v>
      </c>
    </row>
    <row r="5" spans="1:8" ht="28.8" customHeight="1">
      <c r="A5" s="2" t="s">
        <v>407</v>
      </c>
      <c r="B5" s="2" t="s">
        <v>515</v>
      </c>
      <c r="C5" s="2" t="s">
        <v>516</v>
      </c>
      <c r="D5" s="2" t="s">
        <v>517</v>
      </c>
    </row>
    <row r="6" spans="1:8" ht="19.2" customHeight="1">
      <c r="A6" s="2" t="s">
        <v>423</v>
      </c>
      <c r="B6" s="2" t="s">
        <v>518</v>
      </c>
      <c r="C6" s="2" t="s">
        <v>519</v>
      </c>
      <c r="D6" s="2" t="s">
        <v>520</v>
      </c>
    </row>
    <row r="7" spans="1:8" ht="19.2" customHeight="1">
      <c r="A7" s="2" t="s">
        <v>521</v>
      </c>
      <c r="B7" s="2" t="s">
        <v>522</v>
      </c>
      <c r="C7" s="2" t="s">
        <v>523</v>
      </c>
      <c r="D7" s="2" t="s">
        <v>524</v>
      </c>
    </row>
    <row r="8" spans="1:8" ht="19.2" customHeight="1">
      <c r="A8" s="2" t="s">
        <v>442</v>
      </c>
      <c r="B8" s="2" t="s">
        <v>525</v>
      </c>
      <c r="C8" s="2" t="s">
        <v>526</v>
      </c>
      <c r="D8" s="2" t="s">
        <v>527</v>
      </c>
    </row>
    <row r="9" spans="1:8" ht="12" customHeight="1">
      <c r="A9" s="2" t="s">
        <v>105</v>
      </c>
      <c r="B9" s="2" t="s">
        <v>528</v>
      </c>
      <c r="C9" s="2" t="s">
        <v>529</v>
      </c>
      <c r="D9" s="2" t="s">
        <v>530</v>
      </c>
    </row>
    <row r="10" spans="1:8" ht="12" customHeight="1">
      <c r="A10" s="2" t="s">
        <v>531</v>
      </c>
      <c r="B10" s="2" t="s">
        <v>532</v>
      </c>
      <c r="C10" s="2" t="s">
        <v>533</v>
      </c>
      <c r="D10" s="2" t="s">
        <v>534</v>
      </c>
    </row>
    <row r="11" spans="1:8" ht="19.2" customHeight="1">
      <c r="A11" s="2" t="s">
        <v>466</v>
      </c>
      <c r="B11" s="2" t="s">
        <v>535</v>
      </c>
      <c r="C11" s="2" t="s">
        <v>536</v>
      </c>
      <c r="D11" s="2" t="s">
        <v>537</v>
      </c>
    </row>
    <row r="12" spans="1:8" ht="19.2" customHeight="1">
      <c r="A12" s="2" t="s">
        <v>478</v>
      </c>
      <c r="B12" s="2" t="s">
        <v>538</v>
      </c>
      <c r="C12" s="2" t="s">
        <v>539</v>
      </c>
      <c r="D12" s="2" t="s">
        <v>540</v>
      </c>
    </row>
    <row r="13" spans="1:8" ht="19.2" customHeight="1">
      <c r="A13" s="2" t="s">
        <v>541</v>
      </c>
      <c r="B13" s="2" t="s">
        <v>542</v>
      </c>
      <c r="C13" s="2" t="s">
        <v>53</v>
      </c>
      <c r="D13" s="2" t="s">
        <v>543</v>
      </c>
    </row>
    <row r="14" spans="1:8" ht="19.2" customHeight="1">
      <c r="A14" s="2" t="s">
        <v>503</v>
      </c>
      <c r="B14" s="2" t="s">
        <v>544</v>
      </c>
      <c r="C14" s="2" t="s">
        <v>127</v>
      </c>
      <c r="D14" s="2" t="s">
        <v>545</v>
      </c>
    </row>
  </sheetData>
  <mergeCells count="2">
    <mergeCell ref="A1:H1"/>
    <mergeCell ref="A2:H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tabSelected="1" workbookViewId="0">
      <selection activeCell="A2" sqref="A2:H2"/>
    </sheetView>
  </sheetViews>
  <sheetFormatPr defaultRowHeight="13.8"/>
  <cols>
    <col min="1" max="1" width="34" customWidth="1"/>
    <col min="2" max="2" width="14" customWidth="1"/>
    <col min="3" max="3" width="60" customWidth="1"/>
    <col min="4" max="4" width="16" customWidth="1"/>
    <col min="5" max="5" width="18" customWidth="1"/>
    <col min="6" max="6" width="30" customWidth="1"/>
    <col min="7" max="7" width="20" customWidth="1"/>
    <col min="8" max="8" width="42" customWidth="1"/>
  </cols>
  <sheetData>
    <row r="1" spans="1:8" ht="25.65" customHeight="1">
      <c r="A1" s="7" t="s">
        <v>546</v>
      </c>
      <c r="B1" s="8"/>
      <c r="C1" s="8"/>
      <c r="D1" s="8"/>
      <c r="E1" s="8"/>
      <c r="F1" s="8"/>
      <c r="G1" s="8"/>
      <c r="H1" s="8"/>
    </row>
    <row r="2" spans="1:8" ht="22.35" customHeight="1">
      <c r="A2" s="9"/>
      <c r="B2" s="8"/>
      <c r="C2" s="8"/>
      <c r="D2" s="8"/>
      <c r="E2" s="8"/>
      <c r="F2" s="8"/>
      <c r="G2" s="8"/>
      <c r="H2" s="8"/>
    </row>
    <row r="3" spans="1:8" ht="6.45" customHeight="1"/>
    <row r="4" spans="1:8" ht="12" customHeight="1">
      <c r="A4" s="1" t="s">
        <v>547</v>
      </c>
      <c r="B4" s="1" t="s">
        <v>548</v>
      </c>
      <c r="C4" s="1" t="s">
        <v>35</v>
      </c>
    </row>
    <row r="5" spans="1:8" ht="19.2" customHeight="1">
      <c r="A5" s="2" t="s">
        <v>549</v>
      </c>
      <c r="B5" s="2" t="s">
        <v>550</v>
      </c>
      <c r="C5" s="2" t="s">
        <v>551</v>
      </c>
    </row>
    <row r="6" spans="1:8" ht="28.8" customHeight="1">
      <c r="A6" s="2" t="s">
        <v>552</v>
      </c>
      <c r="B6" s="2" t="s">
        <v>550</v>
      </c>
      <c r="C6" s="2" t="s">
        <v>553</v>
      </c>
    </row>
    <row r="7" spans="1:8" ht="19.2" customHeight="1">
      <c r="A7" s="2" t="s">
        <v>554</v>
      </c>
      <c r="B7" s="2" t="s">
        <v>550</v>
      </c>
      <c r="C7" s="2" t="s">
        <v>555</v>
      </c>
    </row>
    <row r="8" spans="1:8" ht="19.2" customHeight="1">
      <c r="A8" s="2" t="s">
        <v>556</v>
      </c>
      <c r="B8" s="2" t="s">
        <v>550</v>
      </c>
      <c r="C8" s="2" t="s">
        <v>557</v>
      </c>
    </row>
    <row r="9" spans="1:8" ht="19.2" customHeight="1">
      <c r="A9" s="2" t="s">
        <v>558</v>
      </c>
      <c r="B9" s="2" t="s">
        <v>550</v>
      </c>
      <c r="C9" s="2" t="s">
        <v>64</v>
      </c>
    </row>
    <row r="10" spans="1:8" ht="19.2" customHeight="1">
      <c r="A10" s="2" t="s">
        <v>559</v>
      </c>
      <c r="B10" s="2" t="s">
        <v>550</v>
      </c>
      <c r="C10" s="2" t="s">
        <v>560</v>
      </c>
    </row>
    <row r="11" spans="1:8" ht="19.2" customHeight="1">
      <c r="A11" s="2" t="s">
        <v>561</v>
      </c>
      <c r="B11" s="2" t="s">
        <v>550</v>
      </c>
      <c r="C11" s="2" t="s">
        <v>562</v>
      </c>
    </row>
    <row r="12" spans="1:8" ht="28.8" customHeight="1">
      <c r="A12" s="2" t="s">
        <v>563</v>
      </c>
      <c r="B12" s="2" t="s">
        <v>550</v>
      </c>
      <c r="C12" s="2" t="s">
        <v>564</v>
      </c>
    </row>
    <row r="13" spans="1:8" ht="19.2" customHeight="1">
      <c r="A13" s="2" t="s">
        <v>565</v>
      </c>
      <c r="B13" s="2" t="s">
        <v>550</v>
      </c>
      <c r="C13" s="2" t="s">
        <v>566</v>
      </c>
    </row>
    <row r="14" spans="1:8" ht="19.2" customHeight="1">
      <c r="A14" s="2" t="s">
        <v>567</v>
      </c>
      <c r="B14" s="2" t="s">
        <v>550</v>
      </c>
      <c r="C14" s="2" t="s">
        <v>53</v>
      </c>
    </row>
    <row r="15" spans="1:8" ht="19.2" customHeight="1">
      <c r="A15" s="2" t="s">
        <v>568</v>
      </c>
      <c r="B15" s="2" t="s">
        <v>550</v>
      </c>
      <c r="C15" s="2" t="s">
        <v>569</v>
      </c>
    </row>
    <row r="16" spans="1:8" ht="19.2" customHeight="1">
      <c r="A16" s="2" t="s">
        <v>570</v>
      </c>
      <c r="B16" s="2" t="s">
        <v>550</v>
      </c>
      <c r="C16" s="2" t="s">
        <v>571</v>
      </c>
    </row>
    <row r="17" spans="1:3" ht="19.2" customHeight="1">
      <c r="A17" s="2" t="s">
        <v>572</v>
      </c>
      <c r="B17" s="2" t="s">
        <v>573</v>
      </c>
      <c r="C17" s="2" t="s">
        <v>574</v>
      </c>
    </row>
    <row r="18" spans="1:3" ht="12" customHeight="1">
      <c r="A18" s="2"/>
      <c r="B18" s="2"/>
      <c r="C18" s="2"/>
    </row>
    <row r="19" spans="1:3" ht="12" customHeight="1">
      <c r="A19" s="2" t="s">
        <v>575</v>
      </c>
      <c r="B19" s="2" t="s">
        <v>576</v>
      </c>
      <c r="C19" s="2" t="s">
        <v>577</v>
      </c>
    </row>
    <row r="20" spans="1:3" ht="12" customHeight="1">
      <c r="A20" s="2" t="s">
        <v>578</v>
      </c>
      <c r="B20" s="2" t="s">
        <v>579</v>
      </c>
      <c r="C20" s="2" t="s">
        <v>580</v>
      </c>
    </row>
    <row r="21" spans="1:3" ht="12" customHeight="1">
      <c r="A21" s="2" t="s">
        <v>578</v>
      </c>
      <c r="B21" s="2" t="s">
        <v>581</v>
      </c>
      <c r="C21" s="2" t="s">
        <v>582</v>
      </c>
    </row>
    <row r="22" spans="1:3" ht="19.2" customHeight="1">
      <c r="A22" s="2" t="s">
        <v>578</v>
      </c>
      <c r="B22" s="2" t="s">
        <v>583</v>
      </c>
      <c r="C22" s="2" t="s">
        <v>559</v>
      </c>
    </row>
    <row r="23" spans="1:3" ht="19.2" customHeight="1">
      <c r="A23" s="2" t="s">
        <v>578</v>
      </c>
      <c r="B23" s="2" t="s">
        <v>584</v>
      </c>
      <c r="C23" s="2" t="s">
        <v>561</v>
      </c>
    </row>
    <row r="24" spans="1:3" ht="19.2" customHeight="1">
      <c r="A24" s="2" t="s">
        <v>578</v>
      </c>
      <c r="B24" s="2" t="s">
        <v>585</v>
      </c>
      <c r="C24" s="2" t="s">
        <v>563</v>
      </c>
    </row>
    <row r="25" spans="1:3" ht="19.2" customHeight="1">
      <c r="A25" s="2" t="s">
        <v>578</v>
      </c>
      <c r="B25" s="2" t="s">
        <v>586</v>
      </c>
      <c r="C25" s="2" t="s">
        <v>587</v>
      </c>
    </row>
    <row r="26" spans="1:3" ht="12" customHeight="1">
      <c r="A26" s="2" t="s">
        <v>588</v>
      </c>
      <c r="B26" s="2" t="s">
        <v>589</v>
      </c>
      <c r="C26" s="2" t="s">
        <v>590</v>
      </c>
    </row>
    <row r="27" spans="1:3" ht="12" customHeight="1">
      <c r="A27" s="2" t="s">
        <v>588</v>
      </c>
      <c r="B27" s="2" t="s">
        <v>591</v>
      </c>
      <c r="C27" s="2" t="s">
        <v>592</v>
      </c>
    </row>
    <row r="28" spans="1:3" ht="19.2" customHeight="1">
      <c r="A28" s="2" t="s">
        <v>588</v>
      </c>
      <c r="B28" s="2" t="s">
        <v>593</v>
      </c>
      <c r="C28" s="2" t="s">
        <v>594</v>
      </c>
    </row>
    <row r="29" spans="1:3" ht="19.2" customHeight="1">
      <c r="A29" s="2" t="s">
        <v>588</v>
      </c>
      <c r="B29" s="2" t="s">
        <v>595</v>
      </c>
      <c r="C29" s="2" t="s">
        <v>596</v>
      </c>
    </row>
    <row r="30" spans="1:3" ht="19.2" customHeight="1">
      <c r="A30" s="2" t="s">
        <v>588</v>
      </c>
      <c r="B30" s="2" t="s">
        <v>597</v>
      </c>
      <c r="C30" s="2" t="s">
        <v>598</v>
      </c>
    </row>
  </sheetData>
  <mergeCells count="2">
    <mergeCell ref="A1:H1"/>
    <mergeCell ref="A2:H2"/>
  </mergeCells>
  <phoneticPr fontId="8" type="noConversion"/>
  <conditionalFormatting sqref="B5:B40">
    <cfRule type="expression" dxfId="1" priority="1">
      <formula>B5="OK"</formula>
    </cfRule>
    <cfRule type="expression" dxfId="0" priority="2">
      <formula>B5="TODO"</formula>
    </cfRule>
  </conditionalFormatting>
  <dataValidations count="1">
    <dataValidation type="list" sqref="B5:B40" xr:uid="{00000000-0002-0000-0700-000000000000}">
      <formula1>"OK,TODO,확인필요"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00_간단개요</vt:lpstr>
      <vt:lpstr>01_ERD</vt:lpstr>
      <vt:lpstr>02_테이블목록</vt:lpstr>
      <vt:lpstr>03_컬럼정의</vt:lpstr>
      <vt:lpstr>04_화면매핑</vt:lpstr>
      <vt:lpstr>05_API목록</vt:lpstr>
      <vt:lpstr>06_샘플데이터</vt:lpstr>
      <vt:lpstr>07_검수체크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다빈 이</cp:lastModifiedBy>
  <dcterms:created xsi:type="dcterms:W3CDTF">2026-06-09T03:36:45Z</dcterms:created>
  <dcterms:modified xsi:type="dcterms:W3CDTF">2026-06-09T07:49:06Z</dcterms:modified>
</cp:coreProperties>
</file>